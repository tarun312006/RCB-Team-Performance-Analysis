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dea1c83b146c99/Documents/Excel analysis/"/>
    </mc:Choice>
  </mc:AlternateContent>
  <xr:revisionPtr revIDLastSave="0" documentId="8_{E8D5DD49-D7BC-464E-9FDD-03DB138C8D58}" xr6:coauthVersionLast="47" xr6:coauthVersionMax="47" xr10:uidLastSave="{00000000-0000-0000-0000-000000000000}"/>
  <bookViews>
    <workbookView xWindow="-108" yWindow="-108" windowWidth="23256" windowHeight="12456" activeTab="4" xr2:uid="{418568A3-EF2E-4FDC-93FF-F9950E8BB0A7}"/>
  </bookViews>
  <sheets>
    <sheet name="Raw Data" sheetId="1" r:id="rId1"/>
    <sheet name="Player Pivot Table" sheetId="3" r:id="rId2"/>
    <sheet name="Team Pivot Table" sheetId="7" r:id="rId3"/>
    <sheet name="Player Dashboard" sheetId="4" r:id="rId4"/>
    <sheet name="Team Dashboard" sheetId="8" r:id="rId5"/>
  </sheets>
  <definedNames>
    <definedName name="_xlnm._FilterDatabase" localSheetId="0" hidden="1">'Raw Data'!$A$1:$L$27</definedName>
  </definedNames>
  <calcPr calcId="191029"/>
  <pivotCaches>
    <pivotCache cacheId="0" r:id="rId6"/>
    <pivotCache cacheId="1" r:id="rId7"/>
    <pivotCache cacheId="2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/>
  <c r="Q16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<sst xmlns="http://schemas.openxmlformats.org/spreadsheetml/2006/main" count="191" uniqueCount="69">
  <si>
    <t>Player</t>
  </si>
  <si>
    <t>Rajat Patidar</t>
  </si>
  <si>
    <t>Tim David</t>
  </si>
  <si>
    <t>Mayank Agarwal</t>
  </si>
  <si>
    <t>Bhuvneshwar Kumar</t>
  </si>
  <si>
    <t>Lungi Ngidi</t>
  </si>
  <si>
    <t>Rasikh Dar</t>
  </si>
  <si>
    <t>Romario Shepherd</t>
  </si>
  <si>
    <t>Yash Dayal</t>
  </si>
  <si>
    <t>Jacob Bethell</t>
  </si>
  <si>
    <t>Liam Livingstone</t>
  </si>
  <si>
    <t>Mohit Rathee</t>
  </si>
  <si>
    <t>Swastik Chikara</t>
  </si>
  <si>
    <t>Philip Salt</t>
  </si>
  <si>
    <t>Devdutt Padikkal</t>
  </si>
  <si>
    <t>Virat Kohli</t>
  </si>
  <si>
    <t>Abhinandan Singh</t>
  </si>
  <si>
    <t>Josh Hazlewood</t>
  </si>
  <si>
    <t>Nuwan Thushara</t>
  </si>
  <si>
    <t>Rasikh Salam</t>
  </si>
  <si>
    <t>Swapnil Singh</t>
  </si>
  <si>
    <t>Blessing Muzarabani</t>
  </si>
  <si>
    <t>Krunal Pandya</t>
  </si>
  <si>
    <t>Manoj Bhandage</t>
  </si>
  <si>
    <t>Suyash Sharma</t>
  </si>
  <si>
    <t>Jitesh Sharma</t>
  </si>
  <si>
    <t>Tim Seifert</t>
  </si>
  <si>
    <t>PLAYER</t>
  </si>
  <si>
    <t>MATCHES</t>
  </si>
  <si>
    <t>RUNS</t>
  </si>
  <si>
    <t>STRIKE RATE</t>
  </si>
  <si>
    <t>MOST FIFTIES</t>
  </si>
  <si>
    <t>AVERAGE</t>
  </si>
  <si>
    <t>WICKETS</t>
  </si>
  <si>
    <t>Grand Total</t>
  </si>
  <si>
    <t>Total Matches</t>
  </si>
  <si>
    <t>Total Runs</t>
  </si>
  <si>
    <t>StrikeRate</t>
  </si>
  <si>
    <t>Fifties</t>
  </si>
  <si>
    <t>SIX</t>
  </si>
  <si>
    <t>FOUR</t>
  </si>
  <si>
    <t>Four</t>
  </si>
  <si>
    <t>Batting Average</t>
  </si>
  <si>
    <t>Wicket</t>
  </si>
  <si>
    <t>Econ</t>
  </si>
  <si>
    <t>PACE BOWLING</t>
  </si>
  <si>
    <t>PLAYER ROLE</t>
  </si>
  <si>
    <t>Batsman</t>
  </si>
  <si>
    <t>All Rounder</t>
  </si>
  <si>
    <t>WicketKeeper</t>
  </si>
  <si>
    <t>Bowler</t>
  </si>
  <si>
    <t>SPIN BOWLING</t>
  </si>
  <si>
    <t>CATCHES TAKEN</t>
  </si>
  <si>
    <t>CATCHES DROP</t>
  </si>
  <si>
    <t>Player Role</t>
  </si>
  <si>
    <t>Player Runs</t>
  </si>
  <si>
    <t>Player Wkts</t>
  </si>
  <si>
    <t>Pace</t>
  </si>
  <si>
    <t>Spin</t>
  </si>
  <si>
    <t>PACE ECONOMY</t>
  </si>
  <si>
    <t>SPIN ECONOMY</t>
  </si>
  <si>
    <t>Avg Pace Econ</t>
  </si>
  <si>
    <t>Avg Spin Econ</t>
  </si>
  <si>
    <t>Pace Wkts</t>
  </si>
  <si>
    <t>Spin Wkts</t>
  </si>
  <si>
    <t>CATCH EFFICIENCY</t>
  </si>
  <si>
    <t>Catch Efficency</t>
  </si>
  <si>
    <t>Catch Taken</t>
  </si>
  <si>
    <t>Catch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</si>
</sst>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[RCB_Team_Performance_Analysis.xlsx]Player Pivot Table!table1</c:name>
    <c:fmtId val="9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MATCHES &amp; RUNS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3648293963255"/>
          <c:y val="6.9444444444444448E-2"/>
          <c:w val="0.69014982502187228"/>
          <c:h val="0.63901356080489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'Player Pivot Table'!$B$3</c:f>
              <c:strCache>
                <c:ptCount val="1"/>
                <c:pt idx="0">
                  <c:v>Total Matches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'Player Pivot Table'!$A$4:$A$15</c:f>
              <c:strCache>
                <c:ptCount val="11"/>
                <c:pt idx="0">
                  <c:v>Virat Kohli</c:v>
                </c:pt>
                <c:pt idx="1">
                  <c:v>Philip Salt</c:v>
                </c:pt>
                <c:pt idx="2">
                  <c:v>Rajat Patidar</c:v>
                </c:pt>
                <c:pt idx="3">
                  <c:v>Jitesh Sharma</c:v>
                </c:pt>
                <c:pt idx="4">
                  <c:v>Devdutt Padikkal</c:v>
                </c:pt>
                <c:pt idx="5">
                  <c:v>Tim David</c:v>
                </c:pt>
                <c:pt idx="6">
                  <c:v>Liam Livingstone</c:v>
                </c:pt>
                <c:pt idx="7">
                  <c:v>Krunal Pandya</c:v>
                </c:pt>
                <c:pt idx="8">
                  <c:v>Mayank Agarwal</c:v>
                </c:pt>
                <c:pt idx="9">
                  <c:v>Romario Shepherd</c:v>
                </c:pt>
                <c:pt idx="10">
                  <c:v>Jacob Bethell</c:v>
                </c:pt>
              </c:strCache>
            </c:strRef>
          </c:cat>
          <c:val>
            <c:numRef>
              <c:f>'Player Pivot Table'!$B$4:$B$15</c:f>
              <c:numCache>
                <c:formatCode>General</c:formatCode>
                <c:ptCount val="11"/>
                <c:pt idx="0">
                  <c:v>15</c:v>
                </c:pt>
                <c:pt idx="1">
                  <c:v>13</c:v>
                </c:pt>
                <c:pt idx="2">
                  <c:v>15</c:v>
                </c:pt>
                <c:pt idx="3">
                  <c:v>15</c:v>
                </c:pt>
                <c:pt idx="4">
                  <c:v>10</c:v>
                </c:pt>
                <c:pt idx="5">
                  <c:v>12</c:v>
                </c:pt>
                <c:pt idx="6">
                  <c:v>10</c:v>
                </c:pt>
                <c:pt idx="7">
                  <c:v>15</c:v>
                </c:pt>
                <c:pt idx="8">
                  <c:v>4</c:v>
                </c:pt>
                <c:pt idx="9">
                  <c:v>8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A-417B-9001-1E0D0373334E}"/>
            </c:ext>
          </c:extLst>
        </c:ser>
        <c:ser>
          <c:idx val="1"/>
          <c:order val="1"/>
          <c:tx>
            <c:strRef>
              <c:f>'Player Pivot Table'!$C$3</c:f>
              <c:strCache>
                <c:ptCount val="1"/>
                <c:pt idx="0">
                  <c:v>Total Runs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'Player Pivot Table'!$A$4:$A$15</c:f>
              <c:strCache>
                <c:ptCount val="11"/>
                <c:pt idx="0">
                  <c:v>Virat Kohli</c:v>
                </c:pt>
                <c:pt idx="1">
                  <c:v>Philip Salt</c:v>
                </c:pt>
                <c:pt idx="2">
                  <c:v>Rajat Patidar</c:v>
                </c:pt>
                <c:pt idx="3">
                  <c:v>Jitesh Sharma</c:v>
                </c:pt>
                <c:pt idx="4">
                  <c:v>Devdutt Padikkal</c:v>
                </c:pt>
                <c:pt idx="5">
                  <c:v>Tim David</c:v>
                </c:pt>
                <c:pt idx="6">
                  <c:v>Liam Livingstone</c:v>
                </c:pt>
                <c:pt idx="7">
                  <c:v>Krunal Pandya</c:v>
                </c:pt>
                <c:pt idx="8">
                  <c:v>Mayank Agarwal</c:v>
                </c:pt>
                <c:pt idx="9">
                  <c:v>Romario Shepherd</c:v>
                </c:pt>
                <c:pt idx="10">
                  <c:v>Jacob Bethell</c:v>
                </c:pt>
              </c:strCache>
            </c:strRef>
          </c:cat>
          <c:val>
            <c:numRef>
              <c:f>'Player Pivot Table'!$C$4:$C$15</c:f>
              <c:numCache>
                <c:formatCode>General</c:formatCode>
                <c:ptCount val="11"/>
                <c:pt idx="0">
                  <c:v>657</c:v>
                </c:pt>
                <c:pt idx="1">
                  <c:v>403</c:v>
                </c:pt>
                <c:pt idx="2">
                  <c:v>312</c:v>
                </c:pt>
                <c:pt idx="3">
                  <c:v>261</c:v>
                </c:pt>
                <c:pt idx="4">
                  <c:v>247</c:v>
                </c:pt>
                <c:pt idx="5">
                  <c:v>187</c:v>
                </c:pt>
                <c:pt idx="6">
                  <c:v>112</c:v>
                </c:pt>
                <c:pt idx="7">
                  <c:v>109</c:v>
                </c:pt>
                <c:pt idx="8">
                  <c:v>95</c:v>
                </c:pt>
                <c:pt idx="9">
                  <c:v>70</c:v>
                </c:pt>
                <c:pt idx="1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A-417B-9001-1E0D03733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45248"/>
        <c:axId val="182947648"/>
      </c:barChart>
      <c:catAx>
        <c:axId val="18294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7648"/>
        <c:crosses val="autoZero"/>
        <c:auto val="1"/>
        <c:lblAlgn val="ctr"/>
        <c:lblOffset val="100"/>
        <c:noMultiLvlLbl val="0"/>
      </c:catAx>
      <c:valAx>
        <c:axId val="1829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[RCB_Team_Performance_Analysis.xlsx]Player Pivot Table!table2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PLAYER STRIKE RATE</a:t>
            </a:r>
          </a:p>
        </c:rich>
      </c:tx>
      <c:layout>
        <c:manualLayout>
          <c:xMode val="edge"/>
          <c:yMode val="edge"/>
          <c:x val="0.329825707331726"/>
          <c:y val="3.224284118249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'Player 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'Player Pivot Table'!$E$4:$E$16</c:f>
              <c:strCache>
                <c:ptCount val="12"/>
                <c:pt idx="0">
                  <c:v>Romario Shepherd</c:v>
                </c:pt>
                <c:pt idx="1">
                  <c:v>Tim David</c:v>
                </c:pt>
                <c:pt idx="2">
                  <c:v>Jitesh Sharma</c:v>
                </c:pt>
                <c:pt idx="3">
                  <c:v>Philip Salt</c:v>
                </c:pt>
                <c:pt idx="4">
                  <c:v>Jacob Bethell</c:v>
                </c:pt>
                <c:pt idx="5">
                  <c:v>Devdutt Padikkal</c:v>
                </c:pt>
                <c:pt idx="6">
                  <c:v>Mayank Agarwal</c:v>
                </c:pt>
                <c:pt idx="7">
                  <c:v>Virat Kohli</c:v>
                </c:pt>
                <c:pt idx="8">
                  <c:v>Rajat Patidar</c:v>
                </c:pt>
                <c:pt idx="9">
                  <c:v>Liam Livingstone</c:v>
                </c:pt>
                <c:pt idx="10">
                  <c:v>Krunal Pandya</c:v>
                </c:pt>
                <c:pt idx="11">
                  <c:v>Bhuvneshwar Kumar</c:v>
                </c:pt>
              </c:strCache>
            </c:strRef>
          </c:cat>
          <c:val>
            <c:numRef>
              <c:f>'Player Pivot Table'!$F$4:$F$16</c:f>
              <c:numCache>
                <c:formatCode>General</c:formatCode>
                <c:ptCount val="12"/>
                <c:pt idx="0">
                  <c:v>291.67</c:v>
                </c:pt>
                <c:pt idx="1">
                  <c:v>185.15</c:v>
                </c:pt>
                <c:pt idx="2">
                  <c:v>176.35</c:v>
                </c:pt>
                <c:pt idx="3">
                  <c:v>175.98</c:v>
                </c:pt>
                <c:pt idx="4">
                  <c:v>171.79</c:v>
                </c:pt>
                <c:pt idx="5">
                  <c:v>150.61000000000001</c:v>
                </c:pt>
                <c:pt idx="6">
                  <c:v>148.44</c:v>
                </c:pt>
                <c:pt idx="7">
                  <c:v>144.71</c:v>
                </c:pt>
                <c:pt idx="8">
                  <c:v>143.78</c:v>
                </c:pt>
                <c:pt idx="9">
                  <c:v>133.33000000000001</c:v>
                </c:pt>
                <c:pt idx="10">
                  <c:v>126.74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8-4464-8FC3-AB37EC0F5D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52124992"/>
        <c:axId val="252135552"/>
      </c:barChart>
      <c:catAx>
        <c:axId val="25212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35552"/>
        <c:crosses val="autoZero"/>
        <c:auto val="1"/>
        <c:lblAlgn val="ctr"/>
        <c:lblOffset val="100"/>
        <c:noMultiLvlLbl val="0"/>
      </c:catAx>
      <c:valAx>
        <c:axId val="25213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Strike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249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[RCB_Team_Performance_Analysis.xlsx]Player Pivot Table!table 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FIFTIES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'Player Pivot Table'!$I$3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F-4932-8CEA-42DE8ECB1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F-4932-8CEA-42DE8ECB15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DF-4932-8CEA-42DE8ECB15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DF-4932-8CEA-42DE8ECB15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DF-4932-8CEA-42DE8ECB15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DF-4932-8CEA-42DE8ECB15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DF-4932-8CEA-42DE8ECB15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DF-4932-8CEA-42DE8ECB15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FDF-4932-8CEA-42DE8ECB15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FDF-4932-8CEA-42DE8ECB15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'Player Pivot Table'!$H$4:$H$14</c:f>
              <c:strCache>
                <c:ptCount val="10"/>
                <c:pt idx="0">
                  <c:v>Devdutt Padikkal</c:v>
                </c:pt>
                <c:pt idx="1">
                  <c:v>Jacob Bethell</c:v>
                </c:pt>
                <c:pt idx="2">
                  <c:v>Jitesh Sharma</c:v>
                </c:pt>
                <c:pt idx="3">
                  <c:v>Krunal Pandya</c:v>
                </c:pt>
                <c:pt idx="4">
                  <c:v>Liam Livingstone</c:v>
                </c:pt>
                <c:pt idx="5">
                  <c:v>Philip Salt</c:v>
                </c:pt>
                <c:pt idx="6">
                  <c:v>Rajat Patidar</c:v>
                </c:pt>
                <c:pt idx="7">
                  <c:v>Romario Shepherd</c:v>
                </c:pt>
                <c:pt idx="8">
                  <c:v>Tim David</c:v>
                </c:pt>
                <c:pt idx="9">
                  <c:v>Virat Kohli</c:v>
                </c:pt>
              </c:strCache>
            </c:strRef>
          </c:cat>
          <c:val>
            <c:numRef>
              <c:f>'Player Pivot Table'!$I$4:$I$14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FDF-4932-8CEA-42DE8ECB15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[RCB_Team_Performance_Analysis.xlsx]Player Pivot Table!PivotTable5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Player 4's&amp;6's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'Player Pivot Table'!$L$3</c:f>
              <c:strCache>
                <c:ptCount val="1"/>
                <c:pt idx="0">
                  <c:v>SIX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'Player Pivot Table'!$K$4:$K$16</c:f>
              <c:strCache>
                <c:ptCount val="12"/>
                <c:pt idx="0">
                  <c:v>Philip Salt</c:v>
                </c:pt>
                <c:pt idx="1">
                  <c:v>Virat Kohli</c:v>
                </c:pt>
                <c:pt idx="2">
                  <c:v>Jitesh Sharma</c:v>
                </c:pt>
                <c:pt idx="3">
                  <c:v>Devdutt Padikkal</c:v>
                </c:pt>
                <c:pt idx="4">
                  <c:v>Tim David</c:v>
                </c:pt>
                <c:pt idx="5">
                  <c:v>Rajat Patidar</c:v>
                </c:pt>
                <c:pt idx="6">
                  <c:v>Liam Livingstone</c:v>
                </c:pt>
                <c:pt idx="7">
                  <c:v>Romario Shepherd</c:v>
                </c:pt>
                <c:pt idx="8">
                  <c:v>Krunal Pandya</c:v>
                </c:pt>
                <c:pt idx="9">
                  <c:v>Jacob Bethell</c:v>
                </c:pt>
                <c:pt idx="10">
                  <c:v>Mayank Agarwal</c:v>
                </c:pt>
                <c:pt idx="11">
                  <c:v>Bhuvneshwar Kumar</c:v>
                </c:pt>
              </c:strCache>
            </c:strRef>
          </c:cat>
          <c:val>
            <c:numRef>
              <c:f>'Player Pivot Table'!$L$4:$L$16</c:f>
              <c:numCache>
                <c:formatCode>General</c:formatCode>
                <c:ptCount val="12"/>
                <c:pt idx="0">
                  <c:v>22</c:v>
                </c:pt>
                <c:pt idx="1">
                  <c:v>19</c:v>
                </c:pt>
                <c:pt idx="2">
                  <c:v>17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9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9-4863-9613-A6159DA9617A}"/>
            </c:ext>
          </c:extLst>
        </c:ser>
        <c:ser>
          <c:idx val="1"/>
          <c:order val="1"/>
          <c:tx>
            <c:strRef>
              <c:f>'Player Pivot Table'!$M$3</c:f>
              <c:strCache>
                <c:ptCount val="1"/>
                <c:pt idx="0">
                  <c:v>Four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'Player Pivot Table'!$K$4:$K$16</c:f>
              <c:strCache>
                <c:ptCount val="12"/>
                <c:pt idx="0">
                  <c:v>Philip Salt</c:v>
                </c:pt>
                <c:pt idx="1">
                  <c:v>Virat Kohli</c:v>
                </c:pt>
                <c:pt idx="2">
                  <c:v>Jitesh Sharma</c:v>
                </c:pt>
                <c:pt idx="3">
                  <c:v>Devdutt Padikkal</c:v>
                </c:pt>
                <c:pt idx="4">
                  <c:v>Tim David</c:v>
                </c:pt>
                <c:pt idx="5">
                  <c:v>Rajat Patidar</c:v>
                </c:pt>
                <c:pt idx="6">
                  <c:v>Liam Livingstone</c:v>
                </c:pt>
                <c:pt idx="7">
                  <c:v>Romario Shepherd</c:v>
                </c:pt>
                <c:pt idx="8">
                  <c:v>Krunal Pandya</c:v>
                </c:pt>
                <c:pt idx="9">
                  <c:v>Jacob Bethell</c:v>
                </c:pt>
                <c:pt idx="10">
                  <c:v>Mayank Agarwal</c:v>
                </c:pt>
                <c:pt idx="11">
                  <c:v>Bhuvneshwar Kumar</c:v>
                </c:pt>
              </c:strCache>
            </c:strRef>
          </c:cat>
          <c:val>
            <c:numRef>
              <c:f>'Player Pivot Table'!$M$4:$M$16</c:f>
              <c:numCache>
                <c:formatCode>General</c:formatCode>
                <c:ptCount val="12"/>
                <c:pt idx="0">
                  <c:v>48</c:v>
                </c:pt>
                <c:pt idx="1">
                  <c:v>66</c:v>
                </c:pt>
                <c:pt idx="2">
                  <c:v>24</c:v>
                </c:pt>
                <c:pt idx="3">
                  <c:v>21</c:v>
                </c:pt>
                <c:pt idx="4">
                  <c:v>16</c:v>
                </c:pt>
                <c:pt idx="5">
                  <c:v>25</c:v>
                </c:pt>
                <c:pt idx="6">
                  <c:v>4</c:v>
                </c:pt>
                <c:pt idx="7">
                  <c:v>5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9-4863-9613-A6159DA9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9258944"/>
        <c:axId val="112306304"/>
      </c:barChart>
      <c:catAx>
        <c:axId val="1092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06304"/>
        <c:crosses val="autoZero"/>
        <c:auto val="1"/>
        <c:lblAlgn val="ctr"/>
        <c:lblOffset val="100"/>
        <c:noMultiLvlLbl val="0"/>
      </c:catAx>
      <c:valAx>
        <c:axId val="112306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[RCB_Team_Performance_Analysis.xlsx]Player Pivot Table!PivotTable7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Batting Average</a:t>
            </a:r>
          </a:p>
        </c:rich>
      </c:tx>
      <c:layout>
        <c:manualLayout>
          <c:xMode val="edge"/>
          <c:yMode val="edge"/>
          <c:x val="0.3631111119386049"/>
          <c:y val="2.9709973570525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'Player 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'Player Pivot Table'!$A$19:$A$30</c:f>
              <c:strCache>
                <c:ptCount val="11"/>
                <c:pt idx="0">
                  <c:v>Tim David</c:v>
                </c:pt>
                <c:pt idx="1">
                  <c:v>Virat Kohli</c:v>
                </c:pt>
                <c:pt idx="2">
                  <c:v>Jitesh Sharma</c:v>
                </c:pt>
                <c:pt idx="3">
                  <c:v>Romario Shepherd</c:v>
                </c:pt>
                <c:pt idx="4">
                  <c:v>Philip Salt</c:v>
                </c:pt>
                <c:pt idx="5">
                  <c:v>Jacob Bethell</c:v>
                </c:pt>
                <c:pt idx="6">
                  <c:v>Mayank Agarwal</c:v>
                </c:pt>
                <c:pt idx="7">
                  <c:v>Devdutt Padikkal</c:v>
                </c:pt>
                <c:pt idx="8">
                  <c:v>Rajat Patidar</c:v>
                </c:pt>
                <c:pt idx="9">
                  <c:v>Krunal Pandya</c:v>
                </c:pt>
                <c:pt idx="10">
                  <c:v>Liam Livingstone</c:v>
                </c:pt>
              </c:strCache>
            </c:strRef>
          </c:cat>
          <c:val>
            <c:numRef>
              <c:f>'Player Pivot Table'!$B$19:$B$30</c:f>
              <c:numCache>
                <c:formatCode>General</c:formatCode>
                <c:ptCount val="11"/>
                <c:pt idx="0">
                  <c:v>62.33</c:v>
                </c:pt>
                <c:pt idx="1">
                  <c:v>54.75</c:v>
                </c:pt>
                <c:pt idx="2">
                  <c:v>37.29</c:v>
                </c:pt>
                <c:pt idx="3">
                  <c:v>35</c:v>
                </c:pt>
                <c:pt idx="4">
                  <c:v>33.58</c:v>
                </c:pt>
                <c:pt idx="5">
                  <c:v>33.5</c:v>
                </c:pt>
                <c:pt idx="6">
                  <c:v>31.67</c:v>
                </c:pt>
                <c:pt idx="7">
                  <c:v>24.7</c:v>
                </c:pt>
                <c:pt idx="8">
                  <c:v>24</c:v>
                </c:pt>
                <c:pt idx="9">
                  <c:v>18.170000000000002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A-439F-8401-8A957094E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0034592"/>
        <c:axId val="1050035072"/>
      </c:barChart>
      <c:catAx>
        <c:axId val="105003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35072"/>
        <c:crosses val="autoZero"/>
        <c:auto val="1"/>
        <c:lblAlgn val="ctr"/>
        <c:lblOffset val="100"/>
        <c:noMultiLvlLbl val="0"/>
      </c:catAx>
      <c:valAx>
        <c:axId val="10500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3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[RCB_Team_Performance_Analysis.xlsx]Player Pivot Table!PivotTable8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'Player Pivot Table'!$E$18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'Player Pivot Table'!$D$19:$D$29</c:f>
              <c:strCache>
                <c:ptCount val="10"/>
                <c:pt idx="0">
                  <c:v>Josh Hazlewood</c:v>
                </c:pt>
                <c:pt idx="1">
                  <c:v>Bhuvneshwar Kumar</c:v>
                </c:pt>
                <c:pt idx="2">
                  <c:v>Krunal Pandya</c:v>
                </c:pt>
                <c:pt idx="3">
                  <c:v>Yash Dayal</c:v>
                </c:pt>
                <c:pt idx="4">
                  <c:v>Suyash Sharma</c:v>
                </c:pt>
                <c:pt idx="5">
                  <c:v>Romario Shepherd</c:v>
                </c:pt>
                <c:pt idx="6">
                  <c:v>Lungi Ngidi</c:v>
                </c:pt>
                <c:pt idx="7">
                  <c:v>Liam Livingstone</c:v>
                </c:pt>
                <c:pt idx="8">
                  <c:v>Rasikh Dar</c:v>
                </c:pt>
                <c:pt idx="9">
                  <c:v>Nuwan Thushara</c:v>
                </c:pt>
              </c:strCache>
            </c:strRef>
          </c:cat>
          <c:val>
            <c:numRef>
              <c:f>'Player Pivot Table'!$E$19:$E$29</c:f>
              <c:numCache>
                <c:formatCode>General</c:formatCode>
                <c:ptCount val="10"/>
                <c:pt idx="0">
                  <c:v>22</c:v>
                </c:pt>
                <c:pt idx="1">
                  <c:v>17</c:v>
                </c:pt>
                <c:pt idx="2">
                  <c:v>17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6-4B9D-BD6B-0CC7E34CC2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52127392"/>
        <c:axId val="252132672"/>
      </c:lineChart>
      <c:catAx>
        <c:axId val="2521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32672"/>
        <c:crosses val="autoZero"/>
        <c:auto val="1"/>
        <c:lblAlgn val="ctr"/>
        <c:lblOffset val="100"/>
        <c:noMultiLvlLbl val="0"/>
      </c:catAx>
      <c:valAx>
        <c:axId val="25213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[RCB_Team_Performance_Analysis.xlsx]Player Pivot Table!PivotTable1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'Player Pivot Table'!$H$18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'Player Pivot Table'!$G$19:$G$29</c:f>
              <c:strCache>
                <c:ptCount val="10"/>
                <c:pt idx="0">
                  <c:v>Rasikh Dar</c:v>
                </c:pt>
                <c:pt idx="1">
                  <c:v>Romario Shepherd</c:v>
                </c:pt>
                <c:pt idx="2">
                  <c:v>Lungi Ngidi</c:v>
                </c:pt>
                <c:pt idx="3">
                  <c:v>Yash Dayal</c:v>
                </c:pt>
                <c:pt idx="4">
                  <c:v>Bhuvneshwar Kumar</c:v>
                </c:pt>
                <c:pt idx="5">
                  <c:v>Suyash Sharma</c:v>
                </c:pt>
                <c:pt idx="6">
                  <c:v>Josh Hazlewood</c:v>
                </c:pt>
                <c:pt idx="7">
                  <c:v>Liam Livingstone</c:v>
                </c:pt>
                <c:pt idx="8">
                  <c:v>Krunal Pandya</c:v>
                </c:pt>
                <c:pt idx="9">
                  <c:v>Nuwan Thushara</c:v>
                </c:pt>
              </c:strCache>
            </c:strRef>
          </c:cat>
          <c:val>
            <c:numRef>
              <c:f>'Player Pivot Table'!$H$19:$H$29</c:f>
              <c:numCache>
                <c:formatCode>General</c:formatCode>
                <c:ptCount val="10"/>
                <c:pt idx="0">
                  <c:v>11.67</c:v>
                </c:pt>
                <c:pt idx="1">
                  <c:v>10.79</c:v>
                </c:pt>
                <c:pt idx="2">
                  <c:v>10.130000000000001</c:v>
                </c:pt>
                <c:pt idx="3">
                  <c:v>9.59</c:v>
                </c:pt>
                <c:pt idx="4">
                  <c:v>9.2899999999999991</c:v>
                </c:pt>
                <c:pt idx="5">
                  <c:v>8.84</c:v>
                </c:pt>
                <c:pt idx="6">
                  <c:v>8.77</c:v>
                </c:pt>
                <c:pt idx="7">
                  <c:v>8.44</c:v>
                </c:pt>
                <c:pt idx="8">
                  <c:v>8.24</c:v>
                </c:pt>
                <c:pt idx="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450C-BC83-C197DEA920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79084447"/>
        <c:axId val="1279084927"/>
        <c:axId val="0"/>
      </c:bar3DChart>
      <c:catAx>
        <c:axId val="127908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084927"/>
        <c:crosses val="autoZero"/>
        <c:auto val="1"/>
        <c:lblAlgn val="ctr"/>
        <c:lblOffset val="100"/>
        <c:noMultiLvlLbl val="0"/>
      </c:catAx>
      <c:valAx>
        <c:axId val="12790849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7908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[RCB_Team_Performance_Analysis.xlsx]Team Pivot Table!PivotTable1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Role-wise Contribution to Team Runs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Pivot Table'!$A$5:$A$9</c:f>
              <c:strCache>
                <c:ptCount val="4"/>
                <c:pt idx="0">
                  <c:v>Batsman</c:v>
                </c:pt>
                <c:pt idx="1">
                  <c:v>WicketKeeper</c:v>
                </c:pt>
                <c:pt idx="2">
                  <c:v>All Rounder</c:v>
                </c:pt>
                <c:pt idx="3">
                  <c:v>Bowler</c:v>
                </c:pt>
              </c:strCache>
            </c:strRef>
          </c:cat>
          <c:val>
            <c:numRef>
              <c:f>'Team Pivot Table'!$B$5:$B$9</c:f>
              <c:numCache>
                <c:formatCode>General</c:formatCode>
                <c:ptCount val="4"/>
                <c:pt idx="0">
                  <c:v>1311</c:v>
                </c:pt>
                <c:pt idx="1">
                  <c:v>664</c:v>
                </c:pt>
                <c:pt idx="2">
                  <c:v>546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2-42E9-9468-DEE82F793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3647327"/>
        <c:axId val="1983649727"/>
      </c:barChart>
      <c:catAx>
        <c:axId val="19836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49727"/>
        <c:crosses val="autoZero"/>
        <c:auto val="1"/>
        <c:lblAlgn val="ctr"/>
        <c:lblOffset val="100"/>
        <c:noMultiLvlLbl val="0"/>
      </c:catAx>
      <c:valAx>
        <c:axId val="198364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4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[RCB_Team_Performance_Analysis.xlsx]Team Pivot Table!PivotTable2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Bowling Contribution by Player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Pivot Table'!$E$4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poly"/>
            <c:order val="6"/>
            <c:dispRSqr val="0"/>
            <c:dispEq val="0"/>
          </c:trendline>
          <c:cat>
            <c:strRef>
              <c:f>'Team Pivot Table'!$D$5:$D$9</c:f>
              <c:strCache>
                <c:ptCount val="4"/>
                <c:pt idx="0">
                  <c:v>Bowler</c:v>
                </c:pt>
                <c:pt idx="1">
                  <c:v>All Rounder</c:v>
                </c:pt>
                <c:pt idx="2">
                  <c:v>WicketKeeper</c:v>
                </c:pt>
                <c:pt idx="3">
                  <c:v>Batsman</c:v>
                </c:pt>
              </c:strCache>
            </c:strRef>
          </c:cat>
          <c:val>
            <c:numRef>
              <c:f>'Team Pivot Table'!$E$5:$E$9</c:f>
              <c:numCache>
                <c:formatCode>General</c:formatCode>
                <c:ptCount val="4"/>
                <c:pt idx="0">
                  <c:v>66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A-403E-8126-04949EB909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5961615"/>
        <c:axId val="175964495"/>
      </c:barChart>
      <c:catAx>
        <c:axId val="17596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4495"/>
        <c:crosses val="autoZero"/>
        <c:auto val="1"/>
        <c:lblAlgn val="ctr"/>
        <c:lblOffset val="100"/>
        <c:noMultiLvlLbl val="0"/>
      </c:catAx>
      <c:valAx>
        <c:axId val="17596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[RCB_Team_Performance_Analysis.xlsx]Team Pivot Table!PivotTable3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Pace vs Spin Bowling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469816272965895E-2"/>
          <c:y val="0.27150743099787683"/>
          <c:w val="0.79265069991251091"/>
          <c:h val="0.63032582710600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'Team Pivot Table'!$G$4</c:f>
              <c:strCache>
                <c:ptCount val="1"/>
                <c:pt idx="0">
                  <c:v>Pace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'Team Pivot Table'!$G$5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Table'!$G$5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6-4D9E-935E-078CF9CF9AAB}"/>
            </c:ext>
          </c:extLst>
        </c:ser>
        <c:ser>
          <c:idx val="1"/>
          <c:order val="1"/>
          <c:tx>
            <c:strRef>
              <c:f>'Team Pivot Table'!$H$4</c:f>
              <c:strCache>
                <c:ptCount val="1"/>
                <c:pt idx="0">
                  <c:v>Spin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'Team Pivot Table'!$G$5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Table'!$H$5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6-4D9E-935E-078CF9CF9A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083732943"/>
        <c:axId val="2083729583"/>
      </c:barChart>
      <c:catAx>
        <c:axId val="20837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729583"/>
        <c:crosses val="autoZero"/>
        <c:auto val="1"/>
        <c:lblAlgn val="ctr"/>
        <c:lblOffset val="100"/>
        <c:noMultiLvlLbl val="0"/>
      </c:catAx>
      <c:valAx>
        <c:axId val="2083729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7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[RCB_Team_Performance_Analysis.xlsx]Team Pivot Table!PivotTable5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en-IN" sz="1600" b="0" i="0" u="none" strike="noStrike" cap="none" normalizeH="0" baseline="0"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Average Economy Rate: Pace vs Spin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Pivot Table'!$J$4</c:f>
              <c:strCache>
                <c:ptCount val="1"/>
                <c:pt idx="0">
                  <c:v>Pace Wkts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Pivot Table'!$J$5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Table'!$J$5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0-4A02-B6F0-788ABB1C8279}"/>
            </c:ext>
          </c:extLst>
        </c:ser>
        <c:ser>
          <c:idx val="1"/>
          <c:order val="1"/>
          <c:tx>
            <c:strRef>
              <c:f>'Team Pivot Table'!$K$4</c:f>
              <c:strCache>
                <c:ptCount val="1"/>
                <c:pt idx="0">
                  <c:v>Avg Pace Econ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'Team Pivot Table'!$J$5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Table'!$K$5</c:f>
              <c:numCache>
                <c:formatCode>General</c:formatCode>
                <c:ptCount val="1"/>
                <c:pt idx="0">
                  <c:v>2.5669230769230769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0-4A02-B6F0-788ABB1C8279}"/>
            </c:ext>
          </c:extLst>
        </c:ser>
        <c:ser>
          <c:idx val="2"/>
          <c:order val="2"/>
          <c:tx>
            <c:strRef>
              <c:f>'Team Pivot Table'!$L$4</c:f>
              <c:strCache>
                <c:ptCount val="1"/>
                <c:pt idx="0">
                  <c:v>Spin Wkts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'Team Pivot Table'!$J$5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Table'!$L$5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0-4A02-B6F0-788ABB1C8279}"/>
            </c:ext>
          </c:extLst>
        </c:ser>
        <c:ser>
          <c:idx val="3"/>
          <c:order val="3"/>
          <c:tx>
            <c:strRef>
              <c:f>'Team Pivot Table'!$M$4</c:f>
              <c:strCache>
                <c:ptCount val="1"/>
                <c:pt idx="0">
                  <c:v>Avg Spin Econ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'Team Pivot Table'!$J$5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Table'!$M$5</c:f>
              <c:numCache>
                <c:formatCode>General</c:formatCode>
                <c:ptCount val="1"/>
                <c:pt idx="0">
                  <c:v>0.98153846153846147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0-4A02-B6F0-788ABB1C8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4393439"/>
        <c:axId val="134391039"/>
      </c:barChart>
      <c:catAx>
        <c:axId val="13439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1039"/>
        <c:crosses val="autoZero"/>
        <c:auto val="1"/>
        <c:lblAlgn val="ctr"/>
        <c:lblOffset val="100"/>
        <c:noMultiLvlLbl val="0"/>
      </c:catAx>
      <c:valAx>
        <c:axId val="13439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34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[RCB_Team_Performance_Analysis.xlsx]Team Pivot Table!PivotTable7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Team Catch Efficiency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Pivot Table'!$O$4</c:f>
              <c:strCache>
                <c:ptCount val="1"/>
                <c:pt idx="0">
                  <c:v>Catch Taken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'Team Pivot Table'!$O$5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Table'!$O$5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E-4F6E-8EEA-CB9B0B519151}"/>
            </c:ext>
          </c:extLst>
        </c:ser>
        <c:ser>
          <c:idx val="1"/>
          <c:order val="1"/>
          <c:tx>
            <c:strRef>
              <c:f>'Team Pivot Table'!$P$4</c:f>
              <c:strCache>
                <c:ptCount val="1"/>
                <c:pt idx="0">
                  <c:v>Catch Drop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'Team Pivot Table'!$O$5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Table'!$P$5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E-4F6E-8EEA-CB9B0B519151}"/>
            </c:ext>
          </c:extLst>
        </c:ser>
        <c:ser>
          <c:idx val="2"/>
          <c:order val="2"/>
          <c:tx>
            <c:strRef>
              <c:f>'Team Pivot Table'!$Q$4</c:f>
              <c:strCache>
                <c:ptCount val="1"/>
                <c:pt idx="0">
                  <c:v>Catch Efficency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'Team Pivot Table'!$O$5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'Team Pivot Table'!$Q$5</c:f>
              <c:numCache>
                <c:formatCode>0.00%</c:formatCode>
                <c:ptCount val="1"/>
                <c:pt idx="0">
                  <c:v>0.93055555555555558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6E-4F6E-8EEA-CB9B0B5191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682767"/>
        <c:axId val="2111249423"/>
      </c:barChart>
      <c:catAx>
        <c:axId val="8168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49423"/>
        <c:crosses val="autoZero"/>
        <c:auto val="1"/>
        <c:lblAlgn val="ctr"/>
        <c:lblOffset val="100"/>
        <c:noMultiLvlLbl val="0"/>
      </c:catAx>
      <c:valAx>
        <c:axId val="21112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8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7620</xdr:rowOff>
    </xdr:from>
    <xdr:to>
      <xdr:col>6</xdr:col>
      <xdr:colOff>158115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F9EAB-8332-4D99-A392-F8E0EF840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206887</xdr:colOff>
      <xdr:row>3</xdr:row>
      <xdr:rowOff>172363</xdr:rowOff>
    </xdr:from>
    <xdr:to>
      <xdr:col>13</xdr:col>
      <xdr:colOff>509782</xdr:colOff>
      <xdr:row>38</xdr:row>
      <xdr:rowOff>67588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59A52-C8CB-F073-B386-9D3F84C54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66675</xdr:rowOff>
    </xdr:from>
    <xdr:to>
      <xdr:col>6</xdr:col>
      <xdr:colOff>152400</xdr:colOff>
      <xdr:row>38</xdr:row>
      <xdr:rowOff>64770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3AD07E-FFB0-42FB-9700-B9FABF8BB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</xdr:row>
      <xdr:rowOff>180974</xdr:rowOff>
    </xdr:from>
    <xdr:to>
      <xdr:col>21</xdr:col>
      <xdr:colOff>590550</xdr:colOff>
      <xdr:row>20</xdr:row>
      <xdr:rowOff>28574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ACF4E7-CF32-4132-AEF0-D13AD5A8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609599</xdr:colOff>
      <xdr:row>20</xdr:row>
      <xdr:rowOff>76199</xdr:rowOff>
    </xdr:from>
    <xdr:to>
      <xdr:col>21</xdr:col>
      <xdr:colOff>600075</xdr:colOff>
      <xdr:row>38</xdr:row>
      <xdr:rowOff>47624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B6DF6B-38F0-4AB5-8F0F-318391F33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4</xdr:row>
      <xdr:rowOff>0</xdr:rowOff>
    </xdr:from>
    <xdr:to>
      <xdr:col>29</xdr:col>
      <xdr:colOff>589200</xdr:colOff>
      <xdr:row>20</xdr:row>
      <xdr:rowOff>27600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4F39B-92C8-4889-8EE2-6AB8E39A2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19050</xdr:colOff>
      <xdr:row>20</xdr:row>
      <xdr:rowOff>66675</xdr:rowOff>
    </xdr:from>
    <xdr:to>
      <xdr:col>30</xdr:col>
      <xdr:colOff>9450</xdr:colOff>
      <xdr:row>38</xdr:row>
      <xdr:rowOff>38325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F99F0B-DD48-40C9-BB5C-585B822C8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261582</xdr:colOff>
      <xdr:row>0</xdr:row>
      <xdr:rowOff>90984</xdr:rowOff>
    </xdr:from>
    <xdr:to>
      <xdr:col>23</xdr:col>
      <xdr:colOff>534538</xdr:colOff>
      <xdr:row>3</xdr:row>
      <xdr:rowOff>157603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3D3173-601A-45D9-813D-37F64AEE91CF}"/>
            </a:ext>
          </a:extLst>
        </xdr:cNvPr>
        <xdr:cNvSpPr txBox="1"/>
      </xdr:nvSpPr>
      <xdr:spPr>
        <a:xfrm>
          <a:off x="5470478" y="90984"/>
          <a:ext cx="9485194" cy="612529"/>
        </a:xfrm>
        <a:prstGeom prst="rect">
          <a:avLst/>
        </a:prstGeom>
        <a:solidFill>
          <a:schemeClr val="lt1"/>
        </a:solidFill>
        <a:ln w="38100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 b="0" cap="none" spc="0">
              <a:ln w="12700"/>
              <a:solidFill>
                <a:schemeClr val="accent1"/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RCB PLAYER PERFORMANCE ANALYSIS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160421</xdr:rowOff>
    </xdr:from>
    <xdr:to>
      <xdr:col>8</xdr:col>
      <xdr:colOff>357600</xdr:colOff>
      <xdr:row>19</xdr:row>
      <xdr:rowOff>160422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3BE4F-85E2-4B99-AF0F-8229E5908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156514</xdr:rowOff>
    </xdr:from>
    <xdr:to>
      <xdr:col>8</xdr:col>
      <xdr:colOff>358140</xdr:colOff>
      <xdr:row>34</xdr:row>
      <xdr:rowOff>156515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3ADF90-EB7C-4A1D-8058-B8F21EFF9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365760</xdr:colOff>
      <xdr:row>4</xdr:row>
      <xdr:rowOff>147220</xdr:rowOff>
    </xdr:from>
    <xdr:to>
      <xdr:col>17</xdr:col>
      <xdr:colOff>113760</xdr:colOff>
      <xdr:row>19</xdr:row>
      <xdr:rowOff>147220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583B9F-C1C9-49B7-A55F-BB74729D7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365760</xdr:colOff>
      <xdr:row>19</xdr:row>
      <xdr:rowOff>156517</xdr:rowOff>
    </xdr:from>
    <xdr:to>
      <xdr:col>17</xdr:col>
      <xdr:colOff>113760</xdr:colOff>
      <xdr:row>34</xdr:row>
      <xdr:rowOff>156518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83D705-D405-430B-BF32-63B36CBA8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114300</xdr:colOff>
      <xdr:row>4</xdr:row>
      <xdr:rowOff>146074</xdr:rowOff>
    </xdr:from>
    <xdr:to>
      <xdr:col>25</xdr:col>
      <xdr:colOff>471900</xdr:colOff>
      <xdr:row>34</xdr:row>
      <xdr:rowOff>159277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811F3F-8CA3-4120-AEAB-3173F10C1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77290</xdr:colOff>
      <xdr:row>0</xdr:row>
      <xdr:rowOff>22087</xdr:rowOff>
    </xdr:from>
    <xdr:to>
      <xdr:col>19</xdr:col>
      <xdr:colOff>463812</xdr:colOff>
      <xdr:row>4</xdr:row>
      <xdr:rowOff>92925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D40E91-BA01-4CE7-A153-3C8280C98D26}"/>
            </a:ext>
          </a:extLst>
        </xdr:cNvPr>
        <xdr:cNvSpPr txBox="1"/>
      </xdr:nvSpPr>
      <xdr:spPr>
        <a:xfrm>
          <a:off x="3114247" y="22087"/>
          <a:ext cx="8890000" cy="82179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 RCB Performance Analytics </a:t>
          </a:r>
          <a:r>
            <a:rPr lang="en-IN" sz="3600" b="0" i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umanthu tarun" refreshedDate="46053.552692013887" createdVersion="8" refreshedVersion="8" minRefreshableVersion="3" recordCount="26" xr:uid="{DC89EE74-1A61-4643-83DC-98FD2014E349}">
  <cacheSource type="worksheet">
    <worksheetSource ref="A1:L27" sheet="Raw Data"/>
  </cacheSource>
  <cacheFields count="10">
    <cacheField name="PLAYER" numFmtId="0">
      <sharedItems count="26">
        <s v="Rajat Patidar"/>
        <s v="Virat Kohli"/>
        <s v="Devdutt Padikkal"/>
        <s v="Tim David"/>
        <s v="Mayank Agarwal"/>
        <s v="Philip Salt"/>
        <s v="Jitesh Sharma"/>
        <s v="Tim Seifert"/>
        <s v="Jacob Bethell"/>
        <s v="Liam Livingstone"/>
        <s v="Krunal Pandya"/>
        <s v="Manoj Bhandage"/>
        <s v="Mohit Rathee"/>
        <s v="Swastik Chikara"/>
        <s v="Suyash Sharma"/>
        <s v="Bhuvneshwar Kumar"/>
        <s v="Josh Hazlewood"/>
        <s v="Lungi Ngidi"/>
        <s v="Nuwan Thushara"/>
        <s v="Rasikh Dar"/>
        <s v="Rasikh Salam"/>
        <s v="Romario Shepherd"/>
        <s v="Yash Dayal"/>
        <s v="Swapnil Singh"/>
        <s v="Blessing Muzarabani"/>
        <s v="Abhinandan Singh"/>
      </sharedItems>
    </cacheField>
    <cacheField name="MATCHES" numFmtId="0">
      <sharedItems containsSemiMixedTypes="0" containsString="0" containsNumber="1" containsInteger="1" minValue="0" maxValue="15" count="10">
        <n v="15"/>
        <n v="10"/>
        <n v="12"/>
        <n v="4"/>
        <n v="13"/>
        <n v="0"/>
        <n v="2"/>
        <n v="1"/>
        <n v="14"/>
        <n v="8"/>
      </sharedItems>
    </cacheField>
    <cacheField name="RUNS" numFmtId="0">
      <sharedItems containsSemiMixedTypes="0" containsString="0" containsNumber="1" containsInteger="1" minValue="0" maxValue="657" count="15">
        <n v="312"/>
        <n v="657"/>
        <n v="247"/>
        <n v="187"/>
        <n v="95"/>
        <n v="403"/>
        <n v="261"/>
        <n v="0"/>
        <n v="67"/>
        <n v="112"/>
        <n v="109"/>
        <n v="1"/>
        <n v="14"/>
        <n v="70"/>
        <n v="4"/>
      </sharedItems>
    </cacheField>
    <cacheField name="STRIKE RATE" numFmtId="0">
      <sharedItems containsSemiMixedTypes="0" containsString="0" containsNumber="1" minValue="0" maxValue="291.67"/>
    </cacheField>
    <cacheField name="FOURS" numFmtId="0">
      <sharedItems containsSemiMixedTypes="0" containsString="0" containsNumber="1" containsInteger="1" minValue="0" maxValue="66"/>
    </cacheField>
    <cacheField name="SIXES" numFmtId="0">
      <sharedItems containsSemiMixedTypes="0" containsString="0" containsNumber="1" containsInteger="1" minValue="0" maxValue="22"/>
    </cacheField>
    <cacheField name="MOST FIFTIES" numFmtId="0">
      <sharedItems containsSemiMixedTypes="0" containsString="0" containsNumber="1" containsInteger="1" minValue="0" maxValue="8"/>
    </cacheField>
    <cacheField name="AVERAGE" numFmtId="0">
      <sharedItems containsSemiMixedTypes="0" containsString="0" containsNumber="1" minValue="0" maxValue="62.33"/>
    </cacheField>
    <cacheField name="WICKETS" numFmtId="0">
      <sharedItems containsSemiMixedTypes="0" containsString="0" containsNumber="1" containsInteger="1" minValue="0" maxValue="22"/>
    </cacheField>
    <cacheField name="ECONOMY" numFmtId="0">
      <sharedItems containsString="0" containsBlank="1" containsNumber="1" minValue="0" maxValue="11.67"/>
    </cacheField>
  </cacheFields>
  <extLst>
    <ext xmlns:x14="http://schemas.microsoft.com/office/spreadsheetml/2009/9/main" uri="{725AE2AE-9491-48be-B2B4-4EB974FC3084}">
      <x14:pivotCacheDefinition pivotCacheId="182552583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umanthu tarun" refreshedDate="46054.611414467596" createdVersion="8" refreshedVersion="8" minRefreshableVersion="3" recordCount="26" xr:uid="{BC69EDC3-D150-461C-8E22-971CA2709EED}">
  <cacheSource type="worksheet">
    <worksheetSource ref="A1:P27" sheet="Raw Data"/>
  </cacheSource>
  <cacheFields count="16">
    <cacheField name="PLAYER" numFmtId="0">
      <sharedItems/>
    </cacheField>
    <cacheField name="PLAYER ROLE" numFmtId="0">
      <sharedItems count="4">
        <s v="Batsman"/>
        <s v="All Rounder"/>
        <s v="WicketKeeper"/>
        <s v="Bowler"/>
      </sharedItems>
    </cacheField>
    <cacheField name="MATCHES" numFmtId="0">
      <sharedItems containsSemiMixedTypes="0" containsString="0" containsNumber="1" containsInteger="1" minValue="0" maxValue="15"/>
    </cacheField>
    <cacheField name="RUNS" numFmtId="0">
      <sharedItems containsSemiMixedTypes="0" containsString="0" containsNumber="1" containsInteger="1" minValue="0" maxValue="657"/>
    </cacheField>
    <cacheField name="STRIKE RATE" numFmtId="0">
      <sharedItems containsSemiMixedTypes="0" containsString="0" containsNumber="1" minValue="0" maxValue="291.67"/>
    </cacheField>
    <cacheField name="FOUR" numFmtId="0">
      <sharedItems containsSemiMixedTypes="0" containsString="0" containsNumber="1" containsInteger="1" minValue="0" maxValue="66"/>
    </cacheField>
    <cacheField name="SIX" numFmtId="0">
      <sharedItems containsSemiMixedTypes="0" containsString="0" containsNumber="1" containsInteger="1" minValue="0" maxValue="22"/>
    </cacheField>
    <cacheField name="MOST FIFTIES" numFmtId="0">
      <sharedItems containsSemiMixedTypes="0" containsString="0" containsNumber="1" containsInteger="1" minValue="0" maxValue="8"/>
    </cacheField>
    <cacheField name="AVERAGE" numFmtId="0">
      <sharedItems containsSemiMixedTypes="0" containsString="0" containsNumber="1" minValue="0" maxValue="62.33"/>
    </cacheField>
    <cacheField name="WICKETS" numFmtId="0">
      <sharedItems containsSemiMixedTypes="0" containsString="0" containsNumber="1" containsInteger="1" minValue="0" maxValue="22"/>
    </cacheField>
    <cacheField name="PACE ECONOMY" numFmtId="0">
      <sharedItems containsSemiMixedTypes="0" containsString="0" containsNumber="1" minValue="0" maxValue="11.67"/>
    </cacheField>
    <cacheField name="SPIN ECONOMY" numFmtId="0">
      <sharedItems containsSemiMixedTypes="0" containsString="0" containsNumber="1" minValue="0" maxValue="8.84"/>
    </cacheField>
    <cacheField name="PACE BOWLING" numFmtId="0">
      <sharedItems containsSemiMixedTypes="0" containsString="0" containsNumber="1" containsInteger="1" minValue="0" maxValue="22"/>
    </cacheField>
    <cacheField name="SPIN BOWLING" numFmtId="0">
      <sharedItems containsSemiMixedTypes="0" containsString="0" containsNumber="1" containsInteger="1" minValue="0" maxValue="17"/>
    </cacheField>
    <cacheField name="CATCHES TAKEN" numFmtId="0">
      <sharedItems containsSemiMixedTypes="0" containsString="0" containsNumber="1" containsInteger="1" minValue="0" maxValue="19"/>
    </cacheField>
    <cacheField name="CATCHES DROP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umanthu tarun" refreshedDate="46054.611898263887" createdVersion="8" refreshedVersion="8" minRefreshableVersion="3" recordCount="26" xr:uid="{33B8651A-1BB7-4F0E-B26E-6E51D78BEAC6}">
  <cacheSource type="worksheet">
    <worksheetSource ref="A1:Q27" sheet="Raw Data"/>
  </cacheSource>
  <cacheFields count="19">
    <cacheField name="PLAYER" numFmtId="0">
      <sharedItems/>
    </cacheField>
    <cacheField name="PLAYER ROLE" numFmtId="0">
      <sharedItems/>
    </cacheField>
    <cacheField name="MATCHES" numFmtId="0">
      <sharedItems containsSemiMixedTypes="0" containsString="0" containsNumber="1" containsInteger="1" minValue="0" maxValue="15"/>
    </cacheField>
    <cacheField name="RUNS" numFmtId="0">
      <sharedItems containsSemiMixedTypes="0" containsString="0" containsNumber="1" containsInteger="1" minValue="0" maxValue="657"/>
    </cacheField>
    <cacheField name="STRIKE RATE" numFmtId="0">
      <sharedItems containsSemiMixedTypes="0" containsString="0" containsNumber="1" minValue="0" maxValue="291.67"/>
    </cacheField>
    <cacheField name="FOUR" numFmtId="0">
      <sharedItems containsSemiMixedTypes="0" containsString="0" containsNumber="1" containsInteger="1" minValue="0" maxValue="66"/>
    </cacheField>
    <cacheField name="SIX" numFmtId="0">
      <sharedItems containsSemiMixedTypes="0" containsString="0" containsNumber="1" containsInteger="1" minValue="0" maxValue="22"/>
    </cacheField>
    <cacheField name="MOST FIFTIES" numFmtId="0">
      <sharedItems containsSemiMixedTypes="0" containsString="0" containsNumber="1" containsInteger="1" minValue="0" maxValue="8"/>
    </cacheField>
    <cacheField name="AVERAGE" numFmtId="0">
      <sharedItems containsSemiMixedTypes="0" containsString="0" containsNumber="1" minValue="0" maxValue="62.33"/>
    </cacheField>
    <cacheField name="WICKETS" numFmtId="0">
      <sharedItems containsSemiMixedTypes="0" containsString="0" containsNumber="1" containsInteger="1" minValue="0" maxValue="22"/>
    </cacheField>
    <cacheField name="PACE ECONOMY" numFmtId="0">
      <sharedItems containsSemiMixedTypes="0" containsString="0" containsNumber="1" minValue="0" maxValue="11.67"/>
    </cacheField>
    <cacheField name="SPIN ECONOMY" numFmtId="0">
      <sharedItems containsSemiMixedTypes="0" containsString="0" containsNumber="1" minValue="0" maxValue="8.84"/>
    </cacheField>
    <cacheField name="PACE BOWLING" numFmtId="0">
      <sharedItems containsSemiMixedTypes="0" containsString="0" containsNumber="1" containsInteger="1" minValue="0" maxValue="22"/>
    </cacheField>
    <cacheField name="SPIN BOWLING" numFmtId="0">
      <sharedItems containsSemiMixedTypes="0" containsString="0" containsNumber="1" containsInteger="1" minValue="0" maxValue="17"/>
    </cacheField>
    <cacheField name="CATCHES TAKEN" numFmtId="0">
      <sharedItems containsSemiMixedTypes="0" containsString="0" containsNumber="1" containsInteger="1" minValue="0" maxValue="19"/>
    </cacheField>
    <cacheField name="CATCHES DROP" numFmtId="0">
      <sharedItems containsSemiMixedTypes="0" containsString="0" containsNumber="1" containsInteger="1" minValue="0" maxValue="1"/>
    </cacheField>
    <cacheField name="CATCH EFFICIENCY" numFmtId="0">
      <sharedItems containsSemiMixedTypes="0" containsString="0" containsNumber="1" minValue="0" maxValue="100"/>
    </cacheField>
    <cacheField name="Team Catch Efficency" numFmtId="0" formula="'CATCHES TAKEN'/('CATCHES TAKEN'+'CATCHES DROP')" databaseField="0"/>
    <cacheField name="Efficency" numFmtId="0" formula="'CATCHES TAKEN'/('CATCHES TAKEN'+'CATCHES DROP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n v="143.78"/>
    <n v="25"/>
    <n v="14"/>
    <n v="2"/>
    <n v="24"/>
    <n v="0"/>
    <n v="0"/>
  </r>
  <r>
    <x v="1"/>
    <x v="0"/>
    <x v="1"/>
    <n v="144.71"/>
    <n v="66"/>
    <n v="19"/>
    <n v="8"/>
    <n v="54.75"/>
    <n v="0"/>
    <n v="0"/>
  </r>
  <r>
    <x v="2"/>
    <x v="1"/>
    <x v="2"/>
    <n v="150.61000000000001"/>
    <n v="21"/>
    <n v="14"/>
    <n v="2"/>
    <n v="24.7"/>
    <n v="0"/>
    <n v="0"/>
  </r>
  <r>
    <x v="3"/>
    <x v="2"/>
    <x v="3"/>
    <n v="185.15"/>
    <n v="16"/>
    <n v="14"/>
    <n v="1"/>
    <n v="62.33"/>
    <n v="0"/>
    <n v="0"/>
  </r>
  <r>
    <x v="4"/>
    <x v="3"/>
    <x v="4"/>
    <n v="148.44"/>
    <n v="10"/>
    <n v="2"/>
    <n v="0"/>
    <n v="31.67"/>
    <n v="0"/>
    <n v="0"/>
  </r>
  <r>
    <x v="5"/>
    <x v="4"/>
    <x v="5"/>
    <n v="175.98"/>
    <n v="48"/>
    <n v="22"/>
    <n v="4"/>
    <n v="33.58"/>
    <n v="0"/>
    <n v="0"/>
  </r>
  <r>
    <x v="6"/>
    <x v="0"/>
    <x v="6"/>
    <n v="176.35"/>
    <n v="24"/>
    <n v="17"/>
    <n v="1"/>
    <n v="37.29"/>
    <n v="0"/>
    <m/>
  </r>
  <r>
    <x v="7"/>
    <x v="5"/>
    <x v="7"/>
    <n v="0"/>
    <n v="0"/>
    <n v="0"/>
    <n v="0"/>
    <n v="0"/>
    <n v="0"/>
    <n v="0"/>
  </r>
  <r>
    <x v="8"/>
    <x v="6"/>
    <x v="8"/>
    <n v="171.79"/>
    <n v="9"/>
    <n v="3"/>
    <n v="1"/>
    <n v="33.5"/>
    <n v="0"/>
    <n v="0"/>
  </r>
  <r>
    <x v="9"/>
    <x v="1"/>
    <x v="9"/>
    <n v="133.33000000000001"/>
    <n v="4"/>
    <n v="9"/>
    <n v="1"/>
    <n v="16"/>
    <n v="2"/>
    <n v="8.44"/>
  </r>
  <r>
    <x v="10"/>
    <x v="0"/>
    <x v="10"/>
    <n v="126.74"/>
    <n v="9"/>
    <n v="4"/>
    <n v="1"/>
    <n v="18.170000000000002"/>
    <n v="17"/>
    <n v="8.24"/>
  </r>
  <r>
    <x v="11"/>
    <x v="7"/>
    <x v="11"/>
    <n v="25"/>
    <n v="0"/>
    <n v="0"/>
    <n v="0"/>
    <n v="1"/>
    <n v="0"/>
    <n v="0"/>
  </r>
  <r>
    <x v="12"/>
    <x v="5"/>
    <x v="7"/>
    <n v="0"/>
    <n v="0"/>
    <n v="0"/>
    <n v="0"/>
    <n v="0"/>
    <n v="0"/>
    <n v="0"/>
  </r>
  <r>
    <x v="13"/>
    <x v="5"/>
    <x v="7"/>
    <n v="0"/>
    <n v="0"/>
    <n v="0"/>
    <n v="0"/>
    <n v="0"/>
    <n v="0"/>
    <n v="0"/>
  </r>
  <r>
    <x v="14"/>
    <x v="8"/>
    <x v="7"/>
    <n v="0"/>
    <n v="0"/>
    <n v="0"/>
    <n v="0"/>
    <n v="0"/>
    <n v="8"/>
    <n v="8.84"/>
  </r>
  <r>
    <x v="15"/>
    <x v="8"/>
    <x v="12"/>
    <n v="56"/>
    <n v="1"/>
    <n v="0"/>
    <n v="0"/>
    <n v="1"/>
    <n v="17"/>
    <n v="9.2899999999999991"/>
  </r>
  <r>
    <x v="16"/>
    <x v="2"/>
    <x v="7"/>
    <n v="0"/>
    <n v="0"/>
    <n v="0"/>
    <n v="0"/>
    <n v="0"/>
    <n v="22"/>
    <n v="8.77"/>
  </r>
  <r>
    <x v="17"/>
    <x v="6"/>
    <x v="7"/>
    <n v="0"/>
    <n v="0"/>
    <n v="0"/>
    <n v="0"/>
    <n v="0"/>
    <n v="4"/>
    <n v="10.130000000000001"/>
  </r>
  <r>
    <x v="18"/>
    <x v="7"/>
    <x v="7"/>
    <n v="0"/>
    <n v="0"/>
    <n v="0"/>
    <n v="0"/>
    <n v="0"/>
    <n v="1"/>
    <n v="6.5"/>
  </r>
  <r>
    <x v="19"/>
    <x v="6"/>
    <x v="7"/>
    <n v="0"/>
    <n v="0"/>
    <n v="0"/>
    <n v="0"/>
    <n v="0"/>
    <n v="1"/>
    <n v="11.67"/>
  </r>
  <r>
    <x v="20"/>
    <x v="5"/>
    <x v="7"/>
    <n v="0"/>
    <n v="0"/>
    <n v="0"/>
    <n v="0"/>
    <n v="0"/>
    <n v="0"/>
    <n v="0"/>
  </r>
  <r>
    <x v="21"/>
    <x v="9"/>
    <x v="13"/>
    <n v="291.67"/>
    <n v="5"/>
    <n v="7"/>
    <n v="1"/>
    <n v="35"/>
    <n v="6"/>
    <n v="10.79"/>
  </r>
  <r>
    <x v="22"/>
    <x v="0"/>
    <x v="14"/>
    <n v="50"/>
    <n v="0"/>
    <n v="0"/>
    <n v="0"/>
    <n v="0.27"/>
    <n v="13"/>
    <n v="9.59"/>
  </r>
  <r>
    <x v="23"/>
    <x v="5"/>
    <x v="7"/>
    <n v="0"/>
    <n v="0"/>
    <n v="0"/>
    <n v="0"/>
    <n v="0"/>
    <n v="0"/>
    <n v="0"/>
  </r>
  <r>
    <x v="24"/>
    <x v="5"/>
    <x v="7"/>
    <n v="0"/>
    <n v="0"/>
    <n v="0"/>
    <n v="0"/>
    <n v="0"/>
    <n v="0"/>
    <n v="0"/>
  </r>
  <r>
    <x v="25"/>
    <x v="5"/>
    <x v="7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Rajat Patidar"/>
    <x v="0"/>
    <n v="15"/>
    <n v="312"/>
    <n v="143.78"/>
    <n v="25"/>
    <n v="14"/>
    <n v="2"/>
    <n v="24"/>
    <n v="0"/>
    <n v="0"/>
    <n v="0"/>
    <n v="0"/>
    <n v="0"/>
    <n v="2"/>
    <n v="1"/>
  </r>
  <r>
    <s v="Virat Kohli"/>
    <x v="0"/>
    <n v="15"/>
    <n v="657"/>
    <n v="144.71"/>
    <n v="66"/>
    <n v="19"/>
    <n v="8"/>
    <n v="54.75"/>
    <n v="0"/>
    <n v="0"/>
    <n v="0"/>
    <n v="0"/>
    <n v="0"/>
    <n v="3"/>
    <n v="1"/>
  </r>
  <r>
    <s v="Devdutt Padikkal"/>
    <x v="0"/>
    <n v="10"/>
    <n v="247"/>
    <n v="150.61000000000001"/>
    <n v="21"/>
    <n v="14"/>
    <n v="2"/>
    <n v="24.7"/>
    <n v="0"/>
    <n v="0"/>
    <n v="0"/>
    <n v="0"/>
    <n v="0"/>
    <n v="0"/>
    <n v="0"/>
  </r>
  <r>
    <s v="Tim David"/>
    <x v="1"/>
    <n v="12"/>
    <n v="187"/>
    <n v="185.15"/>
    <n v="16"/>
    <n v="14"/>
    <n v="1"/>
    <n v="62.33"/>
    <n v="0"/>
    <n v="0"/>
    <n v="0"/>
    <n v="0"/>
    <n v="0"/>
    <n v="7"/>
    <n v="0"/>
  </r>
  <r>
    <s v="Mayank Agarwal"/>
    <x v="0"/>
    <n v="4"/>
    <n v="95"/>
    <n v="148.44"/>
    <n v="10"/>
    <n v="2"/>
    <n v="0"/>
    <n v="31.67"/>
    <n v="0"/>
    <n v="0"/>
    <n v="0"/>
    <n v="0"/>
    <n v="0"/>
    <n v="0"/>
    <n v="0"/>
  </r>
  <r>
    <s v="Philip Salt"/>
    <x v="2"/>
    <n v="13"/>
    <n v="403"/>
    <n v="175.98"/>
    <n v="48"/>
    <n v="22"/>
    <n v="4"/>
    <n v="33.58"/>
    <n v="0"/>
    <n v="0"/>
    <n v="0"/>
    <n v="0"/>
    <n v="0"/>
    <n v="9"/>
    <n v="0"/>
  </r>
  <r>
    <s v="Jitesh Sharma"/>
    <x v="2"/>
    <n v="15"/>
    <n v="261"/>
    <n v="176.35"/>
    <n v="24"/>
    <n v="17"/>
    <n v="1"/>
    <n v="37.29"/>
    <n v="0"/>
    <n v="0"/>
    <n v="0"/>
    <n v="0"/>
    <n v="0"/>
    <n v="19"/>
    <n v="1"/>
  </r>
  <r>
    <s v="Tim Seifert"/>
    <x v="2"/>
    <n v="0"/>
    <n v="0"/>
    <n v="0"/>
    <n v="0"/>
    <n v="0"/>
    <n v="0"/>
    <n v="0"/>
    <n v="0"/>
    <n v="0"/>
    <n v="0"/>
    <n v="0"/>
    <n v="0"/>
    <n v="0"/>
    <n v="0"/>
  </r>
  <r>
    <s v="Jacob Bethell"/>
    <x v="1"/>
    <n v="2"/>
    <n v="67"/>
    <n v="171.79"/>
    <n v="9"/>
    <n v="3"/>
    <n v="1"/>
    <n v="33.5"/>
    <n v="0"/>
    <n v="0"/>
    <n v="0"/>
    <n v="0"/>
    <n v="0"/>
    <n v="0"/>
    <n v="0"/>
  </r>
  <r>
    <s v="Liam Livingstone"/>
    <x v="1"/>
    <n v="10"/>
    <n v="112"/>
    <n v="133.33000000000001"/>
    <n v="4"/>
    <n v="9"/>
    <n v="1"/>
    <n v="16"/>
    <n v="2"/>
    <n v="0"/>
    <n v="8.44"/>
    <n v="0"/>
    <n v="2"/>
    <n v="4"/>
    <n v="0"/>
  </r>
  <r>
    <s v="Krunal Pandya"/>
    <x v="1"/>
    <n v="15"/>
    <n v="109"/>
    <n v="126.74"/>
    <n v="9"/>
    <n v="4"/>
    <n v="1"/>
    <n v="18.170000000000002"/>
    <n v="17"/>
    <n v="0"/>
    <n v="8.24"/>
    <n v="0"/>
    <n v="17"/>
    <n v="6"/>
    <n v="0"/>
  </r>
  <r>
    <s v="Manoj Bhandage"/>
    <x v="1"/>
    <n v="1"/>
    <n v="1"/>
    <n v="25"/>
    <n v="0"/>
    <n v="0"/>
    <n v="0"/>
    <n v="1"/>
    <n v="0"/>
    <n v="0"/>
    <n v="0"/>
    <n v="0"/>
    <n v="0"/>
    <n v="2"/>
    <n v="0"/>
  </r>
  <r>
    <s v="Mohit Rathee"/>
    <x v="3"/>
    <n v="0"/>
    <n v="0"/>
    <n v="0"/>
    <n v="0"/>
    <n v="0"/>
    <n v="0"/>
    <n v="0"/>
    <n v="0"/>
    <n v="0"/>
    <n v="0"/>
    <n v="0"/>
    <n v="0"/>
    <n v="0"/>
    <n v="0"/>
  </r>
  <r>
    <s v="Swastik Chikara"/>
    <x v="0"/>
    <n v="0"/>
    <n v="0"/>
    <n v="0"/>
    <n v="0"/>
    <n v="0"/>
    <n v="0"/>
    <n v="0"/>
    <n v="0"/>
    <n v="0"/>
    <n v="0"/>
    <n v="0"/>
    <n v="0"/>
    <n v="0"/>
    <n v="0"/>
  </r>
  <r>
    <s v="Suyash Sharma"/>
    <x v="3"/>
    <n v="14"/>
    <n v="0"/>
    <n v="0"/>
    <n v="0"/>
    <n v="0"/>
    <n v="0"/>
    <n v="0"/>
    <n v="8"/>
    <n v="0"/>
    <n v="8.84"/>
    <n v="0"/>
    <n v="8"/>
    <n v="1"/>
    <n v="1"/>
  </r>
  <r>
    <s v="Bhuvneshwar Kumar"/>
    <x v="3"/>
    <n v="14"/>
    <n v="14"/>
    <n v="56"/>
    <n v="1"/>
    <n v="0"/>
    <n v="0"/>
    <n v="1"/>
    <n v="17"/>
    <n v="9.2899999999999991"/>
    <n v="0"/>
    <n v="17"/>
    <n v="0"/>
    <n v="5"/>
    <n v="0"/>
  </r>
  <r>
    <s v="Josh Hazlewood"/>
    <x v="3"/>
    <n v="12"/>
    <n v="0"/>
    <n v="0"/>
    <n v="0"/>
    <n v="0"/>
    <n v="0"/>
    <n v="0"/>
    <n v="22"/>
    <n v="8.77"/>
    <n v="0"/>
    <n v="22"/>
    <n v="0"/>
    <n v="1"/>
    <n v="0"/>
  </r>
  <r>
    <s v="Lungi Ngidi"/>
    <x v="3"/>
    <n v="2"/>
    <n v="0"/>
    <n v="0"/>
    <n v="0"/>
    <n v="0"/>
    <n v="0"/>
    <n v="0"/>
    <n v="4"/>
    <n v="10.130000000000001"/>
    <n v="0"/>
    <n v="4"/>
    <n v="0"/>
    <n v="0"/>
    <n v="0"/>
  </r>
  <r>
    <s v="Nuwan Thushara"/>
    <x v="3"/>
    <n v="1"/>
    <n v="0"/>
    <n v="0"/>
    <n v="0"/>
    <n v="0"/>
    <n v="0"/>
    <n v="0"/>
    <n v="1"/>
    <n v="6.5"/>
    <n v="0"/>
    <n v="1"/>
    <n v="0"/>
    <n v="0"/>
    <n v="0"/>
  </r>
  <r>
    <s v="Rasikh Dar"/>
    <x v="3"/>
    <n v="2"/>
    <n v="0"/>
    <n v="0"/>
    <n v="0"/>
    <n v="0"/>
    <n v="0"/>
    <n v="0"/>
    <n v="1"/>
    <n v="11.67"/>
    <n v="0"/>
    <n v="1"/>
    <n v="0"/>
    <n v="1"/>
    <n v="0"/>
  </r>
  <r>
    <s v="Rasikh Salam"/>
    <x v="3"/>
    <n v="0"/>
    <n v="0"/>
    <n v="0"/>
    <n v="0"/>
    <n v="0"/>
    <n v="0"/>
    <n v="0"/>
    <n v="0"/>
    <n v="0"/>
    <n v="0"/>
    <n v="0"/>
    <n v="0"/>
    <n v="0"/>
    <n v="0"/>
  </r>
  <r>
    <s v="Romario Shepherd"/>
    <x v="1"/>
    <n v="8"/>
    <n v="70"/>
    <n v="291.67"/>
    <n v="5"/>
    <n v="7"/>
    <n v="1"/>
    <n v="35"/>
    <n v="6"/>
    <n v="10.79"/>
    <n v="0"/>
    <n v="6"/>
    <n v="0"/>
    <n v="4"/>
    <n v="0"/>
  </r>
  <r>
    <s v="Yash Dayal"/>
    <x v="3"/>
    <n v="15"/>
    <n v="4"/>
    <n v="50"/>
    <n v="0"/>
    <n v="0"/>
    <n v="0"/>
    <n v="0.27"/>
    <n v="13"/>
    <n v="9.59"/>
    <n v="0"/>
    <n v="13"/>
    <n v="0"/>
    <n v="3"/>
    <n v="1"/>
  </r>
  <r>
    <s v="Swapnil Singh"/>
    <x v="1"/>
    <n v="0"/>
    <n v="0"/>
    <n v="0"/>
    <n v="0"/>
    <n v="0"/>
    <n v="0"/>
    <n v="0"/>
    <n v="0"/>
    <n v="0"/>
    <n v="0"/>
    <n v="0"/>
    <n v="0"/>
    <n v="0"/>
    <n v="0"/>
  </r>
  <r>
    <s v="Blessing Muzarabani"/>
    <x v="3"/>
    <n v="0"/>
    <n v="0"/>
    <n v="0"/>
    <n v="0"/>
    <n v="0"/>
    <n v="0"/>
    <n v="0"/>
    <n v="0"/>
    <n v="0"/>
    <n v="0"/>
    <n v="0"/>
    <n v="0"/>
    <n v="0"/>
    <n v="0"/>
  </r>
  <r>
    <s v="Abhinandan Singh"/>
    <x v="3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Rajat Patidar"/>
    <s v="Batsman"/>
    <n v="15"/>
    <n v="312"/>
    <n v="143.78"/>
    <n v="25"/>
    <n v="14"/>
    <n v="2"/>
    <n v="24"/>
    <n v="0"/>
    <n v="0"/>
    <n v="0"/>
    <n v="0"/>
    <n v="0"/>
    <n v="2"/>
    <n v="1"/>
    <n v="66.666666666666657"/>
  </r>
  <r>
    <s v="Virat Kohli"/>
    <s v="Batsman"/>
    <n v="15"/>
    <n v="657"/>
    <n v="144.71"/>
    <n v="66"/>
    <n v="19"/>
    <n v="8"/>
    <n v="54.75"/>
    <n v="0"/>
    <n v="0"/>
    <n v="0"/>
    <n v="0"/>
    <n v="0"/>
    <n v="3"/>
    <n v="1"/>
    <n v="75"/>
  </r>
  <r>
    <s v="Devdutt Padikkal"/>
    <s v="Batsman"/>
    <n v="10"/>
    <n v="247"/>
    <n v="150.61000000000001"/>
    <n v="21"/>
    <n v="14"/>
    <n v="2"/>
    <n v="24.7"/>
    <n v="0"/>
    <n v="0"/>
    <n v="0"/>
    <n v="0"/>
    <n v="0"/>
    <n v="0"/>
    <n v="0"/>
    <n v="0"/>
  </r>
  <r>
    <s v="Tim David"/>
    <s v="All Rounder"/>
    <n v="12"/>
    <n v="187"/>
    <n v="185.15"/>
    <n v="16"/>
    <n v="14"/>
    <n v="1"/>
    <n v="62.33"/>
    <n v="0"/>
    <n v="0"/>
    <n v="0"/>
    <n v="0"/>
    <n v="0"/>
    <n v="7"/>
    <n v="0"/>
    <n v="100"/>
  </r>
  <r>
    <s v="Mayank Agarwal"/>
    <s v="Batsman"/>
    <n v="4"/>
    <n v="95"/>
    <n v="148.44"/>
    <n v="10"/>
    <n v="2"/>
    <n v="0"/>
    <n v="31.67"/>
    <n v="0"/>
    <n v="0"/>
    <n v="0"/>
    <n v="0"/>
    <n v="0"/>
    <n v="0"/>
    <n v="0"/>
    <n v="0"/>
  </r>
  <r>
    <s v="Philip Salt"/>
    <s v="WicketKeeper"/>
    <n v="13"/>
    <n v="403"/>
    <n v="175.98"/>
    <n v="48"/>
    <n v="22"/>
    <n v="4"/>
    <n v="33.58"/>
    <n v="0"/>
    <n v="0"/>
    <n v="0"/>
    <n v="0"/>
    <n v="0"/>
    <n v="9"/>
    <n v="0"/>
    <n v="100"/>
  </r>
  <r>
    <s v="Jitesh Sharma"/>
    <s v="WicketKeeper"/>
    <n v="15"/>
    <n v="261"/>
    <n v="176.35"/>
    <n v="24"/>
    <n v="17"/>
    <n v="1"/>
    <n v="37.29"/>
    <n v="0"/>
    <n v="0"/>
    <n v="0"/>
    <n v="0"/>
    <n v="0"/>
    <n v="19"/>
    <n v="1"/>
    <n v="95"/>
  </r>
  <r>
    <s v="Tim Seifert"/>
    <s v="WicketKeeper"/>
    <n v="0"/>
    <n v="0"/>
    <n v="0"/>
    <n v="0"/>
    <n v="0"/>
    <n v="0"/>
    <n v="0"/>
    <n v="0"/>
    <n v="0"/>
    <n v="0"/>
    <n v="0"/>
    <n v="0"/>
    <n v="0"/>
    <n v="0"/>
    <n v="0"/>
  </r>
  <r>
    <s v="Jacob Bethell"/>
    <s v="All Rounder"/>
    <n v="2"/>
    <n v="67"/>
    <n v="171.79"/>
    <n v="9"/>
    <n v="3"/>
    <n v="1"/>
    <n v="33.5"/>
    <n v="0"/>
    <n v="0"/>
    <n v="0"/>
    <n v="0"/>
    <n v="0"/>
    <n v="0"/>
    <n v="0"/>
    <n v="0"/>
  </r>
  <r>
    <s v="Liam Livingstone"/>
    <s v="All Rounder"/>
    <n v="10"/>
    <n v="112"/>
    <n v="133.33000000000001"/>
    <n v="4"/>
    <n v="9"/>
    <n v="1"/>
    <n v="16"/>
    <n v="2"/>
    <n v="0"/>
    <n v="8.44"/>
    <n v="0"/>
    <n v="2"/>
    <n v="4"/>
    <n v="0"/>
    <n v="100"/>
  </r>
  <r>
    <s v="Krunal Pandya"/>
    <s v="All Rounder"/>
    <n v="15"/>
    <n v="109"/>
    <n v="126.74"/>
    <n v="9"/>
    <n v="4"/>
    <n v="1"/>
    <n v="18.170000000000002"/>
    <n v="17"/>
    <n v="0"/>
    <n v="8.24"/>
    <n v="0"/>
    <n v="17"/>
    <n v="6"/>
    <n v="0"/>
    <n v="100"/>
  </r>
  <r>
    <s v="Manoj Bhandage"/>
    <s v="All Rounder"/>
    <n v="1"/>
    <n v="1"/>
    <n v="25"/>
    <n v="0"/>
    <n v="0"/>
    <n v="0"/>
    <n v="1"/>
    <n v="0"/>
    <n v="0"/>
    <n v="0"/>
    <n v="0"/>
    <n v="0"/>
    <n v="2"/>
    <n v="0"/>
    <n v="100"/>
  </r>
  <r>
    <s v="Mohit Rathee"/>
    <s v="Bowler"/>
    <n v="0"/>
    <n v="0"/>
    <n v="0"/>
    <n v="0"/>
    <n v="0"/>
    <n v="0"/>
    <n v="0"/>
    <n v="0"/>
    <n v="0"/>
    <n v="0"/>
    <n v="0"/>
    <n v="0"/>
    <n v="0"/>
    <n v="0"/>
    <n v="0"/>
  </r>
  <r>
    <s v="Swastik Chikara"/>
    <s v="Batsman"/>
    <n v="0"/>
    <n v="0"/>
    <n v="0"/>
    <n v="0"/>
    <n v="0"/>
    <n v="0"/>
    <n v="0"/>
    <n v="0"/>
    <n v="0"/>
    <n v="0"/>
    <n v="0"/>
    <n v="0"/>
    <n v="0"/>
    <n v="0"/>
    <n v="0"/>
  </r>
  <r>
    <s v="Suyash Sharma"/>
    <s v="Bowler"/>
    <n v="14"/>
    <n v="0"/>
    <n v="0"/>
    <n v="0"/>
    <n v="0"/>
    <n v="0"/>
    <n v="0"/>
    <n v="8"/>
    <n v="0"/>
    <n v="8.84"/>
    <n v="0"/>
    <n v="8"/>
    <n v="1"/>
    <n v="1"/>
    <n v="50"/>
  </r>
  <r>
    <s v="Bhuvneshwar Kumar"/>
    <s v="Bowler"/>
    <n v="14"/>
    <n v="14"/>
    <n v="56"/>
    <n v="1"/>
    <n v="0"/>
    <n v="0"/>
    <n v="1"/>
    <n v="17"/>
    <n v="9.2899999999999991"/>
    <n v="0"/>
    <n v="17"/>
    <n v="0"/>
    <n v="5"/>
    <n v="0"/>
    <n v="100"/>
  </r>
  <r>
    <s v="Josh Hazlewood"/>
    <s v="Bowler"/>
    <n v="12"/>
    <n v="0"/>
    <n v="0"/>
    <n v="0"/>
    <n v="0"/>
    <n v="0"/>
    <n v="0"/>
    <n v="22"/>
    <n v="8.77"/>
    <n v="0"/>
    <n v="22"/>
    <n v="0"/>
    <n v="1"/>
    <n v="0"/>
    <n v="100"/>
  </r>
  <r>
    <s v="Lungi Ngidi"/>
    <s v="Bowler"/>
    <n v="2"/>
    <n v="0"/>
    <n v="0"/>
    <n v="0"/>
    <n v="0"/>
    <n v="0"/>
    <n v="0"/>
    <n v="4"/>
    <n v="10.130000000000001"/>
    <n v="0"/>
    <n v="4"/>
    <n v="0"/>
    <n v="0"/>
    <n v="0"/>
    <n v="0"/>
  </r>
  <r>
    <s v="Nuwan Thushara"/>
    <s v="Bowler"/>
    <n v="1"/>
    <n v="0"/>
    <n v="0"/>
    <n v="0"/>
    <n v="0"/>
    <n v="0"/>
    <n v="0"/>
    <n v="1"/>
    <n v="6.5"/>
    <n v="0"/>
    <n v="1"/>
    <n v="0"/>
    <n v="0"/>
    <n v="0"/>
    <n v="0"/>
  </r>
  <r>
    <s v="Rasikh Dar"/>
    <s v="Bowler"/>
    <n v="2"/>
    <n v="0"/>
    <n v="0"/>
    <n v="0"/>
    <n v="0"/>
    <n v="0"/>
    <n v="0"/>
    <n v="1"/>
    <n v="11.67"/>
    <n v="0"/>
    <n v="1"/>
    <n v="0"/>
    <n v="1"/>
    <n v="0"/>
    <n v="100"/>
  </r>
  <r>
    <s v="Rasikh Salam"/>
    <s v="Bowler"/>
    <n v="0"/>
    <n v="0"/>
    <n v="0"/>
    <n v="0"/>
    <n v="0"/>
    <n v="0"/>
    <n v="0"/>
    <n v="0"/>
    <n v="0"/>
    <n v="0"/>
    <n v="0"/>
    <n v="0"/>
    <n v="0"/>
    <n v="0"/>
    <n v="0"/>
  </r>
  <r>
    <s v="Romario Shepherd"/>
    <s v="All Rounder"/>
    <n v="8"/>
    <n v="70"/>
    <n v="291.67"/>
    <n v="5"/>
    <n v="7"/>
    <n v="1"/>
    <n v="35"/>
    <n v="6"/>
    <n v="10.79"/>
    <n v="0"/>
    <n v="6"/>
    <n v="0"/>
    <n v="4"/>
    <n v="0"/>
    <n v="100"/>
  </r>
  <r>
    <s v="Yash Dayal"/>
    <s v="Bowler"/>
    <n v="15"/>
    <n v="4"/>
    <n v="50"/>
    <n v="0"/>
    <n v="0"/>
    <n v="0"/>
    <n v="0.27"/>
    <n v="13"/>
    <n v="9.59"/>
    <n v="0"/>
    <n v="13"/>
    <n v="0"/>
    <n v="3"/>
    <n v="1"/>
    <n v="75"/>
  </r>
  <r>
    <s v="Swapnil Singh"/>
    <s v="All Rounder"/>
    <n v="0"/>
    <n v="0"/>
    <n v="0"/>
    <n v="0"/>
    <n v="0"/>
    <n v="0"/>
    <n v="0"/>
    <n v="0"/>
    <n v="0"/>
    <n v="0"/>
    <n v="0"/>
    <n v="0"/>
    <n v="0"/>
    <n v="0"/>
    <n v="0"/>
  </r>
  <r>
    <s v="Blessing Muzarabani"/>
    <s v="Bowler"/>
    <n v="0"/>
    <n v="0"/>
    <n v="0"/>
    <n v="0"/>
    <n v="0"/>
    <n v="0"/>
    <n v="0"/>
    <n v="0"/>
    <n v="0"/>
    <n v="0"/>
    <n v="0"/>
    <n v="0"/>
    <n v="0"/>
    <n v="0"/>
    <n v="0"/>
  </r>
  <r>
    <s v="Abhinandan Singh"/>
    <s v="Bowler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CEE7B-C698-494F-80A1-BFF199797E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 rowHeaderCaption="Player">
  <location ref="G18:H29" firstHeaderRow="1" firstDataRow="1" firstDataCol="1"/>
  <pivotFields count="10">
    <pivotField axis="axisRow" showAll="0" measureFilter="1" sortType="descending">
      <items count="27">
        <item x="25"/>
        <item x="15"/>
        <item x="24"/>
        <item x="2"/>
        <item x="8"/>
        <item x="6"/>
        <item x="16"/>
        <item x="10"/>
        <item x="9"/>
        <item x="17"/>
        <item x="11"/>
        <item x="4"/>
        <item x="12"/>
        <item x="18"/>
        <item x="5"/>
        <item x="0"/>
        <item x="19"/>
        <item x="20"/>
        <item x="21"/>
        <item x="14"/>
        <item x="23"/>
        <item x="13"/>
        <item x="3"/>
        <item x="7"/>
        <item x="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16"/>
    </i>
    <i>
      <x v="18"/>
    </i>
    <i>
      <x v="9"/>
    </i>
    <i>
      <x v="25"/>
    </i>
    <i>
      <x v="1"/>
    </i>
    <i>
      <x v="19"/>
    </i>
    <i>
      <x v="6"/>
    </i>
    <i>
      <x v="8"/>
    </i>
    <i>
      <x v="7"/>
    </i>
    <i>
      <x v="13"/>
    </i>
    <i t="grand">
      <x/>
    </i>
  </rowItems>
  <colItems count="1">
    <i/>
  </colItems>
  <dataFields count="1">
    <dataField name="Econ" fld="9" baseField="0" baseItem="1"/>
  </dataFields>
  <chartFormats count="3"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ACACE-D025-4F69-848B-236ED7390D1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layer">
  <location ref="A18:B30" firstHeaderRow="1" firstDataRow="1" firstDataCol="1"/>
  <pivotFields count="10">
    <pivotField axis="axisRow" showAll="0" measureFilter="1" sortType="descending">
      <items count="27">
        <item x="25"/>
        <item x="15"/>
        <item x="24"/>
        <item x="2"/>
        <item x="8"/>
        <item x="6"/>
        <item x="16"/>
        <item x="10"/>
        <item x="9"/>
        <item x="17"/>
        <item x="11"/>
        <item x="4"/>
        <item x="12"/>
        <item x="18"/>
        <item x="5"/>
        <item x="0"/>
        <item x="19"/>
        <item x="20"/>
        <item x="21"/>
        <item x="14"/>
        <item x="23"/>
        <item x="13"/>
        <item x="3"/>
        <item x="7"/>
        <item x="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2">
    <i>
      <x v="22"/>
    </i>
    <i>
      <x v="24"/>
    </i>
    <i>
      <x v="5"/>
    </i>
    <i>
      <x v="18"/>
    </i>
    <i>
      <x v="14"/>
    </i>
    <i>
      <x v="4"/>
    </i>
    <i>
      <x v="11"/>
    </i>
    <i>
      <x v="3"/>
    </i>
    <i>
      <x v="15"/>
    </i>
    <i>
      <x v="7"/>
    </i>
    <i>
      <x v="8"/>
    </i>
    <i t="grand">
      <x/>
    </i>
  </rowItems>
  <colItems count="1">
    <i/>
  </colItems>
  <dataFields count="1">
    <dataField name="Batting Average" fld="7" baseField="0" baseItem="22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C669A-A5E2-428A-AC44-B7E71539F263}" name="table 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layer">
  <location ref="H3:I14" firstHeaderRow="1" firstDataRow="1" firstDataCol="1"/>
  <pivotFields count="10">
    <pivotField axis="axisRow" showAll="0" measureFilter="1">
      <items count="27">
        <item x="25"/>
        <item x="15"/>
        <item x="24"/>
        <item x="2"/>
        <item x="8"/>
        <item x="6"/>
        <item x="16"/>
        <item x="10"/>
        <item x="9"/>
        <item x="17"/>
        <item x="11"/>
        <item x="4"/>
        <item x="12"/>
        <item x="18"/>
        <item x="5"/>
        <item x="0"/>
        <item x="19"/>
        <item x="20"/>
        <item x="21"/>
        <item x="14"/>
        <item x="23"/>
        <item x="13"/>
        <item x="3"/>
        <item x="7"/>
        <item x="1"/>
        <item x="2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1">
    <i>
      <x v="3"/>
    </i>
    <i>
      <x v="4"/>
    </i>
    <i>
      <x v="5"/>
    </i>
    <i>
      <x v="7"/>
    </i>
    <i>
      <x v="8"/>
    </i>
    <i>
      <x v="14"/>
    </i>
    <i>
      <x v="15"/>
    </i>
    <i>
      <x v="18"/>
    </i>
    <i>
      <x v="22"/>
    </i>
    <i>
      <x v="24"/>
    </i>
    <i t="grand">
      <x/>
    </i>
  </rowItems>
  <colItems count="1">
    <i/>
  </colItems>
  <dataFields count="1">
    <dataField name="Fifties" fld="6" baseField="0" baseItem="3"/>
  </dataFields>
  <chartFormats count="11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FDE1D-69A8-4EA5-9ED1-2F8716550F0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Player">
  <location ref="K3:M16" firstHeaderRow="0" firstDataRow="1" firstDataCol="1"/>
  <pivotFields count="10">
    <pivotField axis="axisRow" showAll="0" measureFilter="1" sortType="descending">
      <items count="27">
        <item x="25"/>
        <item x="15"/>
        <item x="24"/>
        <item x="2"/>
        <item x="8"/>
        <item x="6"/>
        <item x="16"/>
        <item x="10"/>
        <item x="9"/>
        <item x="17"/>
        <item x="11"/>
        <item x="4"/>
        <item x="12"/>
        <item x="18"/>
        <item x="5"/>
        <item x="0"/>
        <item x="19"/>
        <item x="20"/>
        <item x="21"/>
        <item x="14"/>
        <item x="23"/>
        <item x="13"/>
        <item x="3"/>
        <item x="7"/>
        <item x="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 v="14"/>
    </i>
    <i>
      <x v="24"/>
    </i>
    <i>
      <x v="5"/>
    </i>
    <i>
      <x v="3"/>
    </i>
    <i>
      <x v="22"/>
    </i>
    <i>
      <x v="15"/>
    </i>
    <i>
      <x v="8"/>
    </i>
    <i>
      <x v="18"/>
    </i>
    <i>
      <x v="7"/>
    </i>
    <i>
      <x v="4"/>
    </i>
    <i>
      <x v="11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IX" fld="5" baseField="0" baseItem="14"/>
    <dataField name="Four" fld="4" baseField="0" baseItem="14"/>
  </dataFields>
  <chartFormats count="4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2" iMeasureFld="1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8BD38-8C15-489D-BD33-EDDEE65E3B6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Player">
  <location ref="D18:E29" firstHeaderRow="1" firstDataRow="1" firstDataCol="1"/>
  <pivotFields count="10">
    <pivotField axis="axisRow" showAll="0" measureFilter="1" sortType="descending">
      <items count="27">
        <item x="25"/>
        <item x="15"/>
        <item x="24"/>
        <item x="2"/>
        <item x="8"/>
        <item x="6"/>
        <item x="16"/>
        <item x="10"/>
        <item x="9"/>
        <item x="17"/>
        <item x="11"/>
        <item x="4"/>
        <item x="12"/>
        <item x="18"/>
        <item x="5"/>
        <item x="0"/>
        <item x="19"/>
        <item x="20"/>
        <item x="21"/>
        <item x="14"/>
        <item x="23"/>
        <item x="13"/>
        <item x="3"/>
        <item x="7"/>
        <item x="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6"/>
    </i>
    <i>
      <x v="1"/>
    </i>
    <i>
      <x v="7"/>
    </i>
    <i>
      <x v="25"/>
    </i>
    <i>
      <x v="19"/>
    </i>
    <i>
      <x v="18"/>
    </i>
    <i>
      <x v="9"/>
    </i>
    <i>
      <x v="8"/>
    </i>
    <i>
      <x v="16"/>
    </i>
    <i>
      <x v="13"/>
    </i>
    <i t="grand">
      <x/>
    </i>
  </rowItems>
  <colItems count="1">
    <i/>
  </colItems>
  <dataFields count="1">
    <dataField name="Wicket" fld="8" baseField="0" baseItem="1"/>
  </dataFields>
  <chartFormats count="2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63A69-EB03-45D7-8E55-FF8351C8A0FD}" name="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2" rowHeaderCaption="Player">
  <location ref="A3:C15" firstHeaderRow="0" firstDataRow="1" firstDataCol="1"/>
  <pivotFields count="10">
    <pivotField axis="axisRow" showAll="0" measureFilter="1" sortType="descending">
      <items count="27">
        <item x="25"/>
        <item x="15"/>
        <item x="24"/>
        <item x="2"/>
        <item x="8"/>
        <item x="6"/>
        <item x="16"/>
        <item x="10"/>
        <item x="9"/>
        <item x="17"/>
        <item x="11"/>
        <item x="4"/>
        <item x="12"/>
        <item x="18"/>
        <item x="5"/>
        <item x="0"/>
        <item x="19"/>
        <item x="20"/>
        <item x="21"/>
        <item x="14"/>
        <item x="23"/>
        <item x="13"/>
        <item x="3"/>
        <item x="7"/>
        <item x="1"/>
        <item x="2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11">
        <item x="5"/>
        <item x="7"/>
        <item x="6"/>
        <item x="3"/>
        <item x="9"/>
        <item x="1"/>
        <item x="2"/>
        <item x="4"/>
        <item x="8"/>
        <item x="0"/>
        <item t="default"/>
      </items>
    </pivotField>
    <pivotField dataField="1" multipleItemSelectionAllowed="1" showAll="0">
      <items count="16">
        <item h="1" x="7"/>
        <item h="1" x="11"/>
        <item h="1" x="14"/>
        <item h="1" x="12"/>
        <item x="8"/>
        <item x="13"/>
        <item x="4"/>
        <item x="10"/>
        <item x="9"/>
        <item x="3"/>
        <item x="2"/>
        <item x="6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 v="24"/>
    </i>
    <i>
      <x v="14"/>
    </i>
    <i>
      <x v="15"/>
    </i>
    <i>
      <x v="5"/>
    </i>
    <i>
      <x v="3"/>
    </i>
    <i>
      <x v="22"/>
    </i>
    <i>
      <x v="8"/>
    </i>
    <i>
      <x v="7"/>
    </i>
    <i>
      <x v="11"/>
    </i>
    <i>
      <x v="18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Matches" fld="1" baseField="0" baseItem="24"/>
    <dataField name="Total Runs" fld="2" baseField="0" baseItem="24"/>
  </dataFields>
  <chartFormats count="2">
    <chartFormat chart="9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1">
      <autoFilter ref="A1">
        <filterColumn colId="0">
          <customFilters>
            <customFilter operator="greaterThan"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CE855-3CE8-4EE3-8E96-3C00BF287386}" name="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Player">
  <location ref="E3:F16" firstHeaderRow="1" firstDataRow="1" firstDataCol="1"/>
  <pivotFields count="10">
    <pivotField axis="axisRow" showAll="0" measureFilter="1" sortType="descending">
      <items count="27">
        <item x="22"/>
        <item x="1"/>
        <item x="7"/>
        <item x="3"/>
        <item x="13"/>
        <item x="23"/>
        <item x="14"/>
        <item x="21"/>
        <item x="20"/>
        <item x="19"/>
        <item x="0"/>
        <item x="5"/>
        <item x="18"/>
        <item x="12"/>
        <item x="4"/>
        <item x="11"/>
        <item x="17"/>
        <item x="9"/>
        <item x="10"/>
        <item x="16"/>
        <item x="6"/>
        <item x="8"/>
        <item x="2"/>
        <item x="24"/>
        <item x="1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 v="7"/>
    </i>
    <i>
      <x v="3"/>
    </i>
    <i>
      <x v="20"/>
    </i>
    <i>
      <x v="11"/>
    </i>
    <i>
      <x v="21"/>
    </i>
    <i>
      <x v="22"/>
    </i>
    <i>
      <x v="14"/>
    </i>
    <i>
      <x v="1"/>
    </i>
    <i>
      <x v="10"/>
    </i>
    <i>
      <x v="17"/>
    </i>
    <i>
      <x v="18"/>
    </i>
    <i>
      <x v="24"/>
    </i>
    <i t="grand">
      <x/>
    </i>
  </rowItems>
  <colItems count="1">
    <i/>
  </colItems>
  <dataFields count="1">
    <dataField name="StrikeRate" fld="3" baseField="0" baseItem="1"/>
  </dataFields>
  <chartFormats count="1">
    <chartFormat chart="3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F05E1-568C-40C5-A2A1-92799AAEAD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0" rowHeaderCaption="Player Role">
  <location ref="D4:E9" firstHeaderRow="1" firstDataRow="1" firstDataCol="1"/>
  <pivotFields count="16"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Player Wkts" fld="9" baseField="1" baseItem="0"/>
  </dataFields>
  <chartFormats count="1">
    <chartFormat chart="6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9D3B7-4959-4A95-9410-6840E09E28A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Player Role">
  <location ref="A4:B9" firstHeaderRow="1" firstDataRow="1" firstDataCol="1"/>
  <pivotFields count="16">
    <pivotField showAll="0"/>
    <pivotField axis="axisRow" showAll="0" measureFilter="1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Player Runs" fld="3" baseField="1" baseItem="0"/>
  </dataField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C65FE-70E6-441E-B62E-6EF35352333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J4:M5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ace Wkts" fld="12" baseField="0" baseItem="1"/>
    <dataField name="Avg Pace Econ" fld="10" subtotal="average" baseField="0" baseItem="1"/>
    <dataField name="Spin Wkts" fld="13" baseField="0" baseItem="2"/>
    <dataField name="Avg Spin Econ" fld="11" subtotal="average" baseField="0" baseItem="3"/>
  </dataFields>
  <chartFormats count="8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35CD5-C730-4A78-8955-8E5798BD08D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G4:H5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Pace" fld="12" baseField="0" baseItem="1"/>
    <dataField name="Spin" fld="13" baseField="0" baseItem="1"/>
  </dataFields>
  <chartFormats count="2"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2FFC8-B1A9-47E3-9510-CFF77A7152B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6">
  <location ref="O4:Q5" firstHeaderRow="0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atch Taken" fld="14" baseField="0" baseItem="1"/>
    <dataField name="Catch Drop" fld="15" baseField="0" baseItem="1"/>
    <dataField name="Catch Efficency" fld="18" baseField="0" baseItem="2" numFmtId="10"/>
  </dataFields>
  <chartFormats count="6">
    <chartFormat chart="4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3D3F-07B1-4F01-AE55-3492DCBC6235}">
  <dimension ref="A1:Q27"/>
  <sheetViews>
    <sheetView workbookViewId="0">
      <selection activeCell="R11" sqref="R11"/>
    </sheetView>
  </sheetViews>
  <sheetFormatPr defaultRowHeight="14.4" x14ac:dyDescent="0.3"/>
  <cols>
    <col min="1" max="2" width="17.5546875" customWidth="1"/>
    <col min="3" max="3" width="12.109375" customWidth="1"/>
    <col min="5" max="5" width="14.5546875" customWidth="1"/>
    <col min="8" max="8" width="15" customWidth="1"/>
    <col min="9" max="9" width="11.88671875" customWidth="1"/>
    <col min="10" max="10" width="12.109375" customWidth="1"/>
    <col min="11" max="11" width="16.5546875" customWidth="1"/>
    <col min="12" max="12" width="16.33203125" customWidth="1"/>
    <col min="13" max="13" width="14.21875" customWidth="1"/>
    <col min="14" max="14" width="13.6640625" customWidth="1"/>
    <col min="15" max="15" width="14.21875" customWidth="1"/>
    <col min="16" max="16" width="13.6640625" customWidth="1"/>
    <col min="17" max="17" width="16.77734375" customWidth="1"/>
  </cols>
  <sheetData>
    <row r="1" spans="1:17" x14ac:dyDescent="0.3">
      <c r="A1" t="s">
        <v>27</v>
      </c>
      <c r="B1" t="s">
        <v>46</v>
      </c>
      <c r="C1" t="s">
        <v>28</v>
      </c>
      <c r="D1" t="s">
        <v>29</v>
      </c>
      <c r="E1" t="s">
        <v>30</v>
      </c>
      <c r="F1" t="s">
        <v>40</v>
      </c>
      <c r="G1" t="s">
        <v>39</v>
      </c>
      <c r="H1" t="s">
        <v>31</v>
      </c>
      <c r="I1" t="s">
        <v>32</v>
      </c>
      <c r="J1" t="s">
        <v>33</v>
      </c>
      <c r="K1" t="s">
        <v>59</v>
      </c>
      <c r="L1" t="s">
        <v>60</v>
      </c>
      <c r="M1" t="s">
        <v>45</v>
      </c>
      <c r="N1" t="s">
        <v>51</v>
      </c>
      <c r="O1" t="s">
        <v>52</v>
      </c>
      <c r="P1" t="s">
        <v>53</v>
      </c>
      <c r="Q1" t="s">
        <v>65</v>
      </c>
    </row>
    <row r="2" spans="1:17" x14ac:dyDescent="0.3">
      <c r="A2" t="s">
        <v>1</v>
      </c>
      <c r="B2" t="s">
        <v>47</v>
      </c>
      <c r="C2">
        <v>15</v>
      </c>
      <c r="D2">
        <v>312</v>
      </c>
      <c r="E2">
        <v>143.78</v>
      </c>
      <c r="F2">
        <v>25</v>
      </c>
      <c r="G2">
        <v>14</v>
      </c>
      <c r="H2">
        <v>2</v>
      </c>
      <c r="I2">
        <v>24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1</v>
      </c>
      <c r="Q2">
        <f t="shared" ref="Q2:Q8" si="0">IF(O2+P2=0,0,(O2/(O2+P2))*100)</f>
        <v>66.666666666666657</v>
      </c>
    </row>
    <row r="3" spans="1:17" x14ac:dyDescent="0.3">
      <c r="A3" t="s">
        <v>15</v>
      </c>
      <c r="B3" t="s">
        <v>47</v>
      </c>
      <c r="C3">
        <v>15</v>
      </c>
      <c r="D3">
        <v>657</v>
      </c>
      <c r="E3">
        <v>144.71</v>
      </c>
      <c r="F3">
        <v>66</v>
      </c>
      <c r="G3">
        <v>19</v>
      </c>
      <c r="H3">
        <v>8</v>
      </c>
      <c r="I3">
        <v>54.75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  <c r="P3">
        <v>1</v>
      </c>
      <c r="Q3">
        <f t="shared" si="0"/>
        <v>75</v>
      </c>
    </row>
    <row r="4" spans="1:17" ht="15.6" x14ac:dyDescent="0.3">
      <c r="A4" t="s">
        <v>14</v>
      </c>
      <c r="B4" t="s">
        <v>47</v>
      </c>
      <c r="C4">
        <v>10</v>
      </c>
      <c r="D4">
        <v>247</v>
      </c>
      <c r="E4">
        <v>150.61000000000001</v>
      </c>
      <c r="F4">
        <v>21</v>
      </c>
      <c r="G4">
        <v>14</v>
      </c>
      <c r="H4">
        <v>2</v>
      </c>
      <c r="I4">
        <v>24.7</v>
      </c>
      <c r="J4">
        <v>0</v>
      </c>
      <c r="K4">
        <v>0</v>
      </c>
      <c r="L4">
        <v>0</v>
      </c>
      <c r="M4">
        <v>0</v>
      </c>
      <c r="N4" s="3">
        <v>0</v>
      </c>
      <c r="O4">
        <v>0</v>
      </c>
      <c r="P4">
        <v>0</v>
      </c>
      <c r="Q4">
        <f t="shared" si="0"/>
        <v>0</v>
      </c>
    </row>
    <row r="5" spans="1:17" x14ac:dyDescent="0.3">
      <c r="A5" t="s">
        <v>2</v>
      </c>
      <c r="B5" t="s">
        <v>48</v>
      </c>
      <c r="C5">
        <v>12</v>
      </c>
      <c r="D5">
        <v>187</v>
      </c>
      <c r="E5">
        <v>185.15</v>
      </c>
      <c r="F5">
        <v>16</v>
      </c>
      <c r="G5">
        <v>14</v>
      </c>
      <c r="H5">
        <v>1</v>
      </c>
      <c r="I5">
        <v>62.33</v>
      </c>
      <c r="J5">
        <v>0</v>
      </c>
      <c r="K5">
        <v>0</v>
      </c>
      <c r="L5">
        <v>0</v>
      </c>
      <c r="M5">
        <v>0</v>
      </c>
      <c r="N5">
        <v>0</v>
      </c>
      <c r="O5">
        <v>7</v>
      </c>
      <c r="P5">
        <v>0</v>
      </c>
      <c r="Q5">
        <f t="shared" si="0"/>
        <v>100</v>
      </c>
    </row>
    <row r="6" spans="1:17" x14ac:dyDescent="0.3">
      <c r="A6" t="s">
        <v>3</v>
      </c>
      <c r="B6" t="s">
        <v>47</v>
      </c>
      <c r="C6">
        <v>4</v>
      </c>
      <c r="D6">
        <v>95</v>
      </c>
      <c r="E6">
        <v>148.44</v>
      </c>
      <c r="F6">
        <v>10</v>
      </c>
      <c r="G6">
        <v>2</v>
      </c>
      <c r="H6">
        <v>0</v>
      </c>
      <c r="I6">
        <v>31.67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0"/>
        <v>0</v>
      </c>
    </row>
    <row r="7" spans="1:17" x14ac:dyDescent="0.3">
      <c r="A7" t="s">
        <v>13</v>
      </c>
      <c r="B7" t="s">
        <v>49</v>
      </c>
      <c r="C7">
        <v>13</v>
      </c>
      <c r="D7">
        <v>403</v>
      </c>
      <c r="E7">
        <v>175.98</v>
      </c>
      <c r="F7">
        <v>48</v>
      </c>
      <c r="G7">
        <v>22</v>
      </c>
      <c r="H7">
        <v>4</v>
      </c>
      <c r="I7">
        <v>33.58</v>
      </c>
      <c r="J7">
        <v>0</v>
      </c>
      <c r="K7">
        <v>0</v>
      </c>
      <c r="L7">
        <v>0</v>
      </c>
      <c r="M7">
        <v>0</v>
      </c>
      <c r="N7">
        <v>0</v>
      </c>
      <c r="O7">
        <v>9</v>
      </c>
      <c r="P7">
        <v>0</v>
      </c>
      <c r="Q7">
        <f t="shared" si="0"/>
        <v>100</v>
      </c>
    </row>
    <row r="8" spans="1:17" x14ac:dyDescent="0.3">
      <c r="A8" t="s">
        <v>25</v>
      </c>
      <c r="B8" t="s">
        <v>49</v>
      </c>
      <c r="C8">
        <v>15</v>
      </c>
      <c r="D8">
        <v>261</v>
      </c>
      <c r="E8">
        <v>176.35</v>
      </c>
      <c r="F8">
        <v>24</v>
      </c>
      <c r="G8">
        <v>17</v>
      </c>
      <c r="H8">
        <v>1</v>
      </c>
      <c r="I8">
        <v>37.29</v>
      </c>
      <c r="J8">
        <v>0</v>
      </c>
      <c r="K8">
        <v>0</v>
      </c>
      <c r="L8">
        <v>0</v>
      </c>
      <c r="M8">
        <v>0</v>
      </c>
      <c r="N8">
        <v>0</v>
      </c>
      <c r="O8">
        <v>19</v>
      </c>
      <c r="P8">
        <v>1</v>
      </c>
      <c r="Q8">
        <f t="shared" si="0"/>
        <v>95</v>
      </c>
    </row>
    <row r="9" spans="1:17" x14ac:dyDescent="0.3">
      <c r="A9" t="s">
        <v>26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9</v>
      </c>
      <c r="B10" t="s">
        <v>48</v>
      </c>
      <c r="C10">
        <v>2</v>
      </c>
      <c r="D10">
        <v>67</v>
      </c>
      <c r="E10">
        <v>171.79</v>
      </c>
      <c r="F10">
        <v>9</v>
      </c>
      <c r="G10">
        <v>3</v>
      </c>
      <c r="H10">
        <v>1</v>
      </c>
      <c r="I10">
        <v>33.5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10</v>
      </c>
      <c r="B11" t="s">
        <v>48</v>
      </c>
      <c r="C11">
        <v>10</v>
      </c>
      <c r="D11">
        <v>112</v>
      </c>
      <c r="E11">
        <v>133.33000000000001</v>
      </c>
      <c r="F11">
        <v>4</v>
      </c>
      <c r="G11">
        <v>9</v>
      </c>
      <c r="H11">
        <v>1</v>
      </c>
      <c r="I11">
        <v>16</v>
      </c>
      <c r="J11">
        <v>2</v>
      </c>
      <c r="K11">
        <v>0</v>
      </c>
      <c r="L11">
        <v>8.44</v>
      </c>
      <c r="M11">
        <v>0</v>
      </c>
      <c r="N11">
        <v>2</v>
      </c>
      <c r="O11">
        <v>4</v>
      </c>
      <c r="P11">
        <v>0</v>
      </c>
      <c r="Q11">
        <v>100</v>
      </c>
    </row>
    <row r="12" spans="1:17" x14ac:dyDescent="0.3">
      <c r="A12" t="s">
        <v>22</v>
      </c>
      <c r="B12" t="s">
        <v>48</v>
      </c>
      <c r="C12">
        <v>15</v>
      </c>
      <c r="D12">
        <v>109</v>
      </c>
      <c r="E12">
        <v>126.74</v>
      </c>
      <c r="F12">
        <v>9</v>
      </c>
      <c r="G12">
        <v>4</v>
      </c>
      <c r="H12">
        <v>1</v>
      </c>
      <c r="I12">
        <v>18.170000000000002</v>
      </c>
      <c r="J12">
        <v>17</v>
      </c>
      <c r="K12">
        <v>0</v>
      </c>
      <c r="L12">
        <v>8.24</v>
      </c>
      <c r="M12">
        <v>0</v>
      </c>
      <c r="N12">
        <v>17</v>
      </c>
      <c r="O12">
        <v>6</v>
      </c>
      <c r="P12">
        <v>0</v>
      </c>
      <c r="Q12">
        <v>100</v>
      </c>
    </row>
    <row r="13" spans="1:17" x14ac:dyDescent="0.3">
      <c r="A13" t="s">
        <v>23</v>
      </c>
      <c r="B13" t="s">
        <v>48</v>
      </c>
      <c r="C13">
        <v>1</v>
      </c>
      <c r="D13">
        <v>1</v>
      </c>
      <c r="E13">
        <v>25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100</v>
      </c>
    </row>
    <row r="14" spans="1:17" x14ac:dyDescent="0.3">
      <c r="A14" t="s">
        <v>11</v>
      </c>
      <c r="B14" t="s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12</v>
      </c>
      <c r="B15" t="s">
        <v>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24</v>
      </c>
      <c r="B16" t="s">
        <v>50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8</v>
      </c>
      <c r="K16">
        <v>0</v>
      </c>
      <c r="L16">
        <v>8.84</v>
      </c>
      <c r="M16">
        <v>0</v>
      </c>
      <c r="N16">
        <v>8</v>
      </c>
      <c r="O16">
        <v>1</v>
      </c>
      <c r="P16">
        <v>1</v>
      </c>
      <c r="Q16">
        <f>IF(O16+P16=0,0,(O16/(O16+P16))*100)</f>
        <v>50</v>
      </c>
    </row>
    <row r="17" spans="1:17" x14ac:dyDescent="0.3">
      <c r="A17" t="s">
        <v>4</v>
      </c>
      <c r="B17" t="s">
        <v>50</v>
      </c>
      <c r="C17">
        <v>14</v>
      </c>
      <c r="D17">
        <v>14</v>
      </c>
      <c r="E17">
        <v>56</v>
      </c>
      <c r="F17">
        <v>1</v>
      </c>
      <c r="G17">
        <v>0</v>
      </c>
      <c r="H17">
        <v>0</v>
      </c>
      <c r="I17">
        <v>1</v>
      </c>
      <c r="J17">
        <v>17</v>
      </c>
      <c r="K17">
        <v>9.2899999999999991</v>
      </c>
      <c r="L17">
        <v>0</v>
      </c>
      <c r="M17">
        <v>17</v>
      </c>
      <c r="N17">
        <v>0</v>
      </c>
      <c r="O17">
        <v>5</v>
      </c>
      <c r="P17">
        <v>0</v>
      </c>
      <c r="Q17">
        <v>100</v>
      </c>
    </row>
    <row r="18" spans="1:17" x14ac:dyDescent="0.3">
      <c r="A18" t="s">
        <v>17</v>
      </c>
      <c r="B18" t="s">
        <v>50</v>
      </c>
      <c r="C18">
        <v>12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22</v>
      </c>
      <c r="K18">
        <v>8.77</v>
      </c>
      <c r="L18">
        <v>0</v>
      </c>
      <c r="M18">
        <v>22</v>
      </c>
      <c r="N18">
        <v>0</v>
      </c>
      <c r="O18">
        <v>1</v>
      </c>
      <c r="P18">
        <v>0</v>
      </c>
      <c r="Q18">
        <v>100</v>
      </c>
    </row>
    <row r="19" spans="1:17" x14ac:dyDescent="0.3">
      <c r="A19" t="s">
        <v>5</v>
      </c>
      <c r="B19" t="s">
        <v>50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10.130000000000001</v>
      </c>
      <c r="L19">
        <v>0</v>
      </c>
      <c r="M19">
        <v>4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18</v>
      </c>
      <c r="B20" t="s">
        <v>50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6.5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6</v>
      </c>
      <c r="B21" t="s">
        <v>50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11.67</v>
      </c>
      <c r="L21">
        <v>0</v>
      </c>
      <c r="M21">
        <v>1</v>
      </c>
      <c r="N21">
        <v>0</v>
      </c>
      <c r="O21">
        <v>1</v>
      </c>
      <c r="P21">
        <v>0</v>
      </c>
      <c r="Q21">
        <v>100</v>
      </c>
    </row>
    <row r="22" spans="1:17" x14ac:dyDescent="0.3">
      <c r="A22" t="s">
        <v>19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7</v>
      </c>
      <c r="B23" t="s">
        <v>48</v>
      </c>
      <c r="C23">
        <v>8</v>
      </c>
      <c r="D23">
        <v>70</v>
      </c>
      <c r="E23">
        <v>291.67</v>
      </c>
      <c r="F23">
        <v>5</v>
      </c>
      <c r="G23">
        <v>7</v>
      </c>
      <c r="H23">
        <v>1</v>
      </c>
      <c r="I23">
        <v>35</v>
      </c>
      <c r="J23">
        <v>6</v>
      </c>
      <c r="K23">
        <v>10.79</v>
      </c>
      <c r="L23">
        <v>0</v>
      </c>
      <c r="M23">
        <v>6</v>
      </c>
      <c r="N23">
        <v>0</v>
      </c>
      <c r="O23">
        <v>4</v>
      </c>
      <c r="P23">
        <v>0</v>
      </c>
      <c r="Q23">
        <v>100</v>
      </c>
    </row>
    <row r="24" spans="1:17" x14ac:dyDescent="0.3">
      <c r="A24" t="s">
        <v>8</v>
      </c>
      <c r="B24" t="s">
        <v>50</v>
      </c>
      <c r="C24">
        <v>15</v>
      </c>
      <c r="D24">
        <v>4</v>
      </c>
      <c r="E24">
        <v>50</v>
      </c>
      <c r="F24">
        <v>0</v>
      </c>
      <c r="G24">
        <v>0</v>
      </c>
      <c r="H24">
        <v>0</v>
      </c>
      <c r="I24">
        <v>0.27</v>
      </c>
      <c r="J24">
        <v>13</v>
      </c>
      <c r="K24">
        <v>9.59</v>
      </c>
      <c r="L24">
        <v>0</v>
      </c>
      <c r="M24">
        <v>13</v>
      </c>
      <c r="N24">
        <v>0</v>
      </c>
      <c r="O24">
        <v>3</v>
      </c>
      <c r="P24">
        <v>1</v>
      </c>
      <c r="Q24">
        <f>IF(O24+P24=0,0,(O24/(O24+P24))*100)</f>
        <v>75</v>
      </c>
    </row>
    <row r="25" spans="1:17" x14ac:dyDescent="0.3">
      <c r="A25" t="s">
        <v>20</v>
      </c>
      <c r="B25" t="s">
        <v>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21</v>
      </c>
      <c r="B26" t="s">
        <v>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16</v>
      </c>
      <c r="B27" t="s">
        <v>50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</sheetData>
  <autoFilter ref="A1:L27" xr:uid="{678C3D3F-07B1-4F01-AE55-3492DCBC62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16B9-9E46-41F4-95C1-E57345EA5535}">
  <dimension ref="A3:M30"/>
  <sheetViews>
    <sheetView workbookViewId="0">
      <selection activeCell="H19" sqref="H19"/>
    </sheetView>
  </sheetViews>
  <sheetFormatPr defaultRowHeight="14.4" x14ac:dyDescent="0.3"/>
  <cols>
    <col min="1" max="1" width="15.88671875" bestFit="1" customWidth="1"/>
    <col min="2" max="2" width="13.88671875" bestFit="1" customWidth="1"/>
    <col min="3" max="3" width="9.44140625" bestFit="1" customWidth="1"/>
    <col min="4" max="4" width="17.5546875" bestFit="1" customWidth="1"/>
    <col min="5" max="5" width="15.88671875" customWidth="1"/>
    <col min="6" max="6" width="9.77734375" bestFit="1" customWidth="1"/>
    <col min="7" max="7" width="17.5546875" bestFit="1" customWidth="1"/>
    <col min="8" max="8" width="16.77734375" customWidth="1"/>
    <col min="9" max="9" width="6.21875" customWidth="1"/>
    <col min="11" max="11" width="17.5546875" bestFit="1" customWidth="1"/>
    <col min="12" max="12" width="6.5546875" customWidth="1"/>
    <col min="13" max="13" width="8" customWidth="1"/>
  </cols>
  <sheetData>
    <row r="3" spans="1:13" x14ac:dyDescent="0.3">
      <c r="A3" s="1" t="s">
        <v>0</v>
      </c>
      <c r="B3" t="s">
        <v>35</v>
      </c>
      <c r="C3" t="s">
        <v>36</v>
      </c>
      <c r="E3" s="1" t="s">
        <v>0</v>
      </c>
      <c r="F3" t="s">
        <v>37</v>
      </c>
      <c r="H3" s="1" t="s">
        <v>0</v>
      </c>
      <c r="I3" t="s">
        <v>38</v>
      </c>
      <c r="K3" s="1" t="s">
        <v>0</v>
      </c>
      <c r="L3" t="s">
        <v>39</v>
      </c>
      <c r="M3" t="s">
        <v>41</v>
      </c>
    </row>
    <row r="4" spans="1:13" x14ac:dyDescent="0.3">
      <c r="A4" s="2" t="s">
        <v>15</v>
      </c>
      <c r="B4">
        <v>15</v>
      </c>
      <c r="C4">
        <v>657</v>
      </c>
      <c r="E4" s="2" t="s">
        <v>7</v>
      </c>
      <c r="F4">
        <v>291.67</v>
      </c>
      <c r="H4" s="2" t="s">
        <v>14</v>
      </c>
      <c r="I4">
        <v>2</v>
      </c>
      <c r="K4" s="2" t="s">
        <v>13</v>
      </c>
      <c r="L4">
        <v>22</v>
      </c>
      <c r="M4">
        <v>48</v>
      </c>
    </row>
    <row r="5" spans="1:13" x14ac:dyDescent="0.3">
      <c r="A5" s="2" t="s">
        <v>13</v>
      </c>
      <c r="B5">
        <v>13</v>
      </c>
      <c r="C5">
        <v>403</v>
      </c>
      <c r="E5" s="2" t="s">
        <v>2</v>
      </c>
      <c r="F5">
        <v>185.15</v>
      </c>
      <c r="H5" s="2" t="s">
        <v>9</v>
      </c>
      <c r="I5">
        <v>1</v>
      </c>
      <c r="K5" s="2" t="s">
        <v>15</v>
      </c>
      <c r="L5">
        <v>19</v>
      </c>
      <c r="M5">
        <v>66</v>
      </c>
    </row>
    <row r="6" spans="1:13" x14ac:dyDescent="0.3">
      <c r="A6" s="2" t="s">
        <v>1</v>
      </c>
      <c r="B6">
        <v>15</v>
      </c>
      <c r="C6">
        <v>312</v>
      </c>
      <c r="E6" s="2" t="s">
        <v>25</v>
      </c>
      <c r="F6">
        <v>176.35</v>
      </c>
      <c r="H6" s="2" t="s">
        <v>25</v>
      </c>
      <c r="I6">
        <v>1</v>
      </c>
      <c r="K6" s="2" t="s">
        <v>25</v>
      </c>
      <c r="L6">
        <v>17</v>
      </c>
      <c r="M6">
        <v>24</v>
      </c>
    </row>
    <row r="7" spans="1:13" x14ac:dyDescent="0.3">
      <c r="A7" s="2" t="s">
        <v>25</v>
      </c>
      <c r="B7">
        <v>15</v>
      </c>
      <c r="C7">
        <v>261</v>
      </c>
      <c r="E7" s="2" t="s">
        <v>13</v>
      </c>
      <c r="F7">
        <v>175.98</v>
      </c>
      <c r="H7" s="2" t="s">
        <v>22</v>
      </c>
      <c r="I7">
        <v>1</v>
      </c>
      <c r="K7" s="2" t="s">
        <v>14</v>
      </c>
      <c r="L7">
        <v>14</v>
      </c>
      <c r="M7">
        <v>21</v>
      </c>
    </row>
    <row r="8" spans="1:13" x14ac:dyDescent="0.3">
      <c r="A8" s="2" t="s">
        <v>14</v>
      </c>
      <c r="B8">
        <v>10</v>
      </c>
      <c r="C8">
        <v>247</v>
      </c>
      <c r="E8" s="2" t="s">
        <v>9</v>
      </c>
      <c r="F8">
        <v>171.79</v>
      </c>
      <c r="H8" s="2" t="s">
        <v>10</v>
      </c>
      <c r="I8">
        <v>1</v>
      </c>
      <c r="K8" s="2" t="s">
        <v>2</v>
      </c>
      <c r="L8">
        <v>14</v>
      </c>
      <c r="M8">
        <v>16</v>
      </c>
    </row>
    <row r="9" spans="1:13" x14ac:dyDescent="0.3">
      <c r="A9" s="2" t="s">
        <v>2</v>
      </c>
      <c r="B9">
        <v>12</v>
      </c>
      <c r="C9">
        <v>187</v>
      </c>
      <c r="E9" s="2" t="s">
        <v>14</v>
      </c>
      <c r="F9">
        <v>150.61000000000001</v>
      </c>
      <c r="H9" s="2" t="s">
        <v>13</v>
      </c>
      <c r="I9">
        <v>4</v>
      </c>
      <c r="K9" s="2" t="s">
        <v>1</v>
      </c>
      <c r="L9">
        <v>14</v>
      </c>
      <c r="M9">
        <v>25</v>
      </c>
    </row>
    <row r="10" spans="1:13" x14ac:dyDescent="0.3">
      <c r="A10" s="2" t="s">
        <v>10</v>
      </c>
      <c r="B10">
        <v>10</v>
      </c>
      <c r="C10">
        <v>112</v>
      </c>
      <c r="E10" s="2" t="s">
        <v>3</v>
      </c>
      <c r="F10">
        <v>148.44</v>
      </c>
      <c r="H10" s="2" t="s">
        <v>1</v>
      </c>
      <c r="I10">
        <v>2</v>
      </c>
      <c r="K10" s="2" t="s">
        <v>10</v>
      </c>
      <c r="L10">
        <v>9</v>
      </c>
      <c r="M10">
        <v>4</v>
      </c>
    </row>
    <row r="11" spans="1:13" x14ac:dyDescent="0.3">
      <c r="A11" s="2" t="s">
        <v>22</v>
      </c>
      <c r="B11">
        <v>15</v>
      </c>
      <c r="C11">
        <v>109</v>
      </c>
      <c r="E11" s="2" t="s">
        <v>15</v>
      </c>
      <c r="F11">
        <v>144.71</v>
      </c>
      <c r="H11" s="2" t="s">
        <v>7</v>
      </c>
      <c r="I11">
        <v>1</v>
      </c>
      <c r="K11" s="2" t="s">
        <v>7</v>
      </c>
      <c r="L11">
        <v>7</v>
      </c>
      <c r="M11">
        <v>5</v>
      </c>
    </row>
    <row r="12" spans="1:13" x14ac:dyDescent="0.3">
      <c r="A12" s="2" t="s">
        <v>3</v>
      </c>
      <c r="B12">
        <v>4</v>
      </c>
      <c r="C12">
        <v>95</v>
      </c>
      <c r="E12" s="2" t="s">
        <v>1</v>
      </c>
      <c r="F12">
        <v>143.78</v>
      </c>
      <c r="H12" s="2" t="s">
        <v>2</v>
      </c>
      <c r="I12">
        <v>1</v>
      </c>
      <c r="K12" s="2" t="s">
        <v>22</v>
      </c>
      <c r="L12">
        <v>4</v>
      </c>
      <c r="M12">
        <v>9</v>
      </c>
    </row>
    <row r="13" spans="1:13" x14ac:dyDescent="0.3">
      <c r="A13" s="2" t="s">
        <v>7</v>
      </c>
      <c r="B13">
        <v>8</v>
      </c>
      <c r="C13">
        <v>70</v>
      </c>
      <c r="E13" s="2" t="s">
        <v>10</v>
      </c>
      <c r="F13">
        <v>133.33000000000001</v>
      </c>
      <c r="H13" s="2" t="s">
        <v>15</v>
      </c>
      <c r="I13">
        <v>8</v>
      </c>
      <c r="K13" s="2" t="s">
        <v>9</v>
      </c>
      <c r="L13">
        <v>3</v>
      </c>
      <c r="M13">
        <v>9</v>
      </c>
    </row>
    <row r="14" spans="1:13" x14ac:dyDescent="0.3">
      <c r="A14" s="2" t="s">
        <v>9</v>
      </c>
      <c r="B14">
        <v>2</v>
      </c>
      <c r="C14">
        <v>67</v>
      </c>
      <c r="E14" s="2" t="s">
        <v>22</v>
      </c>
      <c r="F14">
        <v>126.74</v>
      </c>
      <c r="H14" s="2" t="s">
        <v>34</v>
      </c>
      <c r="I14">
        <v>22</v>
      </c>
      <c r="K14" s="2" t="s">
        <v>3</v>
      </c>
      <c r="L14">
        <v>2</v>
      </c>
      <c r="M14">
        <v>10</v>
      </c>
    </row>
    <row r="15" spans="1:13" x14ac:dyDescent="0.3">
      <c r="A15" s="2" t="s">
        <v>34</v>
      </c>
      <c r="B15">
        <v>119</v>
      </c>
      <c r="C15">
        <v>2520</v>
      </c>
      <c r="E15" s="2" t="s">
        <v>4</v>
      </c>
      <c r="F15">
        <v>56</v>
      </c>
      <c r="K15" s="2" t="s">
        <v>4</v>
      </c>
      <c r="L15">
        <v>0</v>
      </c>
      <c r="M15">
        <v>1</v>
      </c>
    </row>
    <row r="16" spans="1:13" x14ac:dyDescent="0.3">
      <c r="E16" s="2" t="s">
        <v>34</v>
      </c>
      <c r="F16">
        <v>1904.5499999999997</v>
      </c>
      <c r="K16" s="2" t="s">
        <v>34</v>
      </c>
      <c r="L16">
        <v>125</v>
      </c>
      <c r="M16">
        <v>238</v>
      </c>
    </row>
    <row r="18" spans="1:8" x14ac:dyDescent="0.3">
      <c r="A18" s="1" t="s">
        <v>0</v>
      </c>
      <c r="B18" t="s">
        <v>42</v>
      </c>
      <c r="D18" s="1" t="s">
        <v>0</v>
      </c>
      <c r="E18" t="s">
        <v>43</v>
      </c>
      <c r="G18" s="1" t="s">
        <v>0</v>
      </c>
      <c r="H18" t="s">
        <v>44</v>
      </c>
    </row>
    <row r="19" spans="1:8" x14ac:dyDescent="0.3">
      <c r="A19" s="2" t="s">
        <v>2</v>
      </c>
      <c r="B19">
        <v>62.33</v>
      </c>
      <c r="D19" s="2" t="s">
        <v>17</v>
      </c>
      <c r="E19">
        <v>22</v>
      </c>
      <c r="G19" s="2" t="s">
        <v>6</v>
      </c>
      <c r="H19">
        <v>11.67</v>
      </c>
    </row>
    <row r="20" spans="1:8" x14ac:dyDescent="0.3">
      <c r="A20" s="2" t="s">
        <v>15</v>
      </c>
      <c r="B20">
        <v>54.75</v>
      </c>
      <c r="D20" s="2" t="s">
        <v>4</v>
      </c>
      <c r="E20">
        <v>17</v>
      </c>
      <c r="G20" s="2" t="s">
        <v>7</v>
      </c>
      <c r="H20">
        <v>10.79</v>
      </c>
    </row>
    <row r="21" spans="1:8" x14ac:dyDescent="0.3">
      <c r="A21" s="2" t="s">
        <v>25</v>
      </c>
      <c r="B21">
        <v>37.29</v>
      </c>
      <c r="D21" s="2" t="s">
        <v>22</v>
      </c>
      <c r="E21">
        <v>17</v>
      </c>
      <c r="G21" s="2" t="s">
        <v>5</v>
      </c>
      <c r="H21">
        <v>10.130000000000001</v>
      </c>
    </row>
    <row r="22" spans="1:8" x14ac:dyDescent="0.3">
      <c r="A22" s="2" t="s">
        <v>7</v>
      </c>
      <c r="B22">
        <v>35</v>
      </c>
      <c r="D22" s="2" t="s">
        <v>8</v>
      </c>
      <c r="E22">
        <v>13</v>
      </c>
      <c r="G22" s="2" t="s">
        <v>8</v>
      </c>
      <c r="H22">
        <v>9.59</v>
      </c>
    </row>
    <row r="23" spans="1:8" x14ac:dyDescent="0.3">
      <c r="A23" s="2" t="s">
        <v>13</v>
      </c>
      <c r="B23">
        <v>33.58</v>
      </c>
      <c r="D23" s="2" t="s">
        <v>24</v>
      </c>
      <c r="E23">
        <v>8</v>
      </c>
      <c r="G23" s="2" t="s">
        <v>4</v>
      </c>
      <c r="H23">
        <v>9.2899999999999991</v>
      </c>
    </row>
    <row r="24" spans="1:8" x14ac:dyDescent="0.3">
      <c r="A24" s="2" t="s">
        <v>9</v>
      </c>
      <c r="B24">
        <v>33.5</v>
      </c>
      <c r="D24" s="2" t="s">
        <v>7</v>
      </c>
      <c r="E24">
        <v>6</v>
      </c>
      <c r="G24" s="2" t="s">
        <v>24</v>
      </c>
      <c r="H24">
        <v>8.84</v>
      </c>
    </row>
    <row r="25" spans="1:8" x14ac:dyDescent="0.3">
      <c r="A25" s="2" t="s">
        <v>3</v>
      </c>
      <c r="B25">
        <v>31.67</v>
      </c>
      <c r="D25" s="2" t="s">
        <v>5</v>
      </c>
      <c r="E25">
        <v>4</v>
      </c>
      <c r="G25" s="2" t="s">
        <v>17</v>
      </c>
      <c r="H25">
        <v>8.77</v>
      </c>
    </row>
    <row r="26" spans="1:8" x14ac:dyDescent="0.3">
      <c r="A26" s="2" t="s">
        <v>14</v>
      </c>
      <c r="B26">
        <v>24.7</v>
      </c>
      <c r="D26" s="2" t="s">
        <v>10</v>
      </c>
      <c r="E26">
        <v>2</v>
      </c>
      <c r="G26" s="2" t="s">
        <v>10</v>
      </c>
      <c r="H26">
        <v>8.44</v>
      </c>
    </row>
    <row r="27" spans="1:8" x14ac:dyDescent="0.3">
      <c r="A27" s="2" t="s">
        <v>1</v>
      </c>
      <c r="B27">
        <v>24</v>
      </c>
      <c r="D27" s="2" t="s">
        <v>6</v>
      </c>
      <c r="E27">
        <v>1</v>
      </c>
      <c r="G27" s="2" t="s">
        <v>22</v>
      </c>
      <c r="H27">
        <v>8.24</v>
      </c>
    </row>
    <row r="28" spans="1:8" x14ac:dyDescent="0.3">
      <c r="A28" s="2" t="s">
        <v>22</v>
      </c>
      <c r="B28">
        <v>18.170000000000002</v>
      </c>
      <c r="D28" s="2" t="s">
        <v>18</v>
      </c>
      <c r="E28">
        <v>1</v>
      </c>
      <c r="G28" s="2" t="s">
        <v>18</v>
      </c>
      <c r="H28">
        <v>6.5</v>
      </c>
    </row>
    <row r="29" spans="1:8" x14ac:dyDescent="0.3">
      <c r="A29" s="2" t="s">
        <v>10</v>
      </c>
      <c r="B29">
        <v>16</v>
      </c>
      <c r="D29" s="2" t="s">
        <v>34</v>
      </c>
      <c r="E29">
        <v>91</v>
      </c>
      <c r="G29" s="2" t="s">
        <v>34</v>
      </c>
      <c r="H29">
        <v>92.26</v>
      </c>
    </row>
    <row r="30" spans="1:8" x14ac:dyDescent="0.3">
      <c r="A30" s="2" t="s">
        <v>34</v>
      </c>
      <c r="B30">
        <v>370.99</v>
      </c>
    </row>
  </sheetData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8A05-B8C6-4E9E-8DAE-9EF4956C059A}">
  <dimension ref="A4:Q9"/>
  <sheetViews>
    <sheetView zoomScaleNormal="100" workbookViewId="0">
      <selection activeCell="N8" sqref="N8"/>
    </sheetView>
  </sheetViews>
  <sheetFormatPr defaultRowHeight="14.4" x14ac:dyDescent="0.3"/>
  <cols>
    <col min="1" max="1" width="12.44140625" bestFit="1" customWidth="1"/>
    <col min="2" max="2" width="10.5546875" bestFit="1" customWidth="1"/>
    <col min="4" max="4" width="12.44140625" bestFit="1" customWidth="1"/>
    <col min="5" max="5" width="10.77734375" bestFit="1" customWidth="1"/>
    <col min="7" max="7" width="5.109375" bestFit="1" customWidth="1"/>
    <col min="8" max="8" width="4.77734375" bestFit="1" customWidth="1"/>
    <col min="9" max="9" width="8.77734375" customWidth="1"/>
    <col min="10" max="10" width="9.6640625" bestFit="1" customWidth="1"/>
    <col min="11" max="11" width="12.6640625" bestFit="1" customWidth="1"/>
    <col min="12" max="12" width="9.33203125" bestFit="1" customWidth="1"/>
    <col min="13" max="13" width="12.33203125" bestFit="1" customWidth="1"/>
    <col min="14" max="14" width="11.109375" customWidth="1"/>
    <col min="15" max="15" width="11.109375" bestFit="1" customWidth="1"/>
    <col min="16" max="16" width="10.21875" bestFit="1" customWidth="1"/>
    <col min="17" max="17" width="13.88671875" bestFit="1" customWidth="1"/>
    <col min="18" max="42" width="23.109375" bestFit="1" customWidth="1"/>
    <col min="43" max="43" width="27.6640625" bestFit="1" customWidth="1"/>
    <col min="44" max="44" width="23.21875" bestFit="1" customWidth="1"/>
    <col min="45" max="45" width="24.44140625" bestFit="1" customWidth="1"/>
    <col min="46" max="53" width="20.21875" bestFit="1" customWidth="1"/>
    <col min="54" max="54" width="24.77734375" bestFit="1" customWidth="1"/>
    <col min="55" max="55" width="20.33203125" bestFit="1" customWidth="1"/>
    <col min="56" max="56" width="24.44140625" bestFit="1" customWidth="1"/>
    <col min="57" max="57" width="21.44140625" bestFit="1" customWidth="1"/>
  </cols>
  <sheetData>
    <row r="4" spans="1:17" x14ac:dyDescent="0.3">
      <c r="A4" s="1" t="s">
        <v>54</v>
      </c>
      <c r="B4" t="s">
        <v>55</v>
      </c>
      <c r="D4" s="1" t="s">
        <v>54</v>
      </c>
      <c r="E4" t="s">
        <v>56</v>
      </c>
      <c r="G4" t="s">
        <v>57</v>
      </c>
      <c r="H4" t="s">
        <v>58</v>
      </c>
      <c r="J4" t="s">
        <v>63</v>
      </c>
      <c r="K4" t="s">
        <v>61</v>
      </c>
      <c r="L4" t="s">
        <v>64</v>
      </c>
      <c r="M4" t="s">
        <v>62</v>
      </c>
      <c r="O4" t="s">
        <v>67</v>
      </c>
      <c r="P4" t="s">
        <v>68</v>
      </c>
      <c r="Q4" t="s">
        <v>66</v>
      </c>
    </row>
    <row r="5" spans="1:17" x14ac:dyDescent="0.3">
      <c r="A5" s="2" t="s">
        <v>47</v>
      </c>
      <c r="B5">
        <v>1311</v>
      </c>
      <c r="D5" s="2" t="s">
        <v>50</v>
      </c>
      <c r="E5">
        <v>66</v>
      </c>
      <c r="G5">
        <v>64</v>
      </c>
      <c r="H5">
        <v>27</v>
      </c>
      <c r="J5">
        <v>64</v>
      </c>
      <c r="K5">
        <v>2.5669230769230769</v>
      </c>
      <c r="L5">
        <v>27</v>
      </c>
      <c r="M5">
        <v>0.98153846153846147</v>
      </c>
      <c r="O5" s="5">
        <v>67</v>
      </c>
      <c r="P5" s="5">
        <v>5</v>
      </c>
      <c r="Q5" s="4">
        <v>0.93055555555555558</v>
      </c>
    </row>
    <row r="6" spans="1:17" x14ac:dyDescent="0.3">
      <c r="A6" s="2" t="s">
        <v>49</v>
      </c>
      <c r="B6">
        <v>664</v>
      </c>
      <c r="D6" s="2" t="s">
        <v>48</v>
      </c>
      <c r="E6">
        <v>25</v>
      </c>
    </row>
    <row r="7" spans="1:17" x14ac:dyDescent="0.3">
      <c r="A7" s="2" t="s">
        <v>48</v>
      </c>
      <c r="B7">
        <v>546</v>
      </c>
      <c r="D7" s="2" t="s">
        <v>49</v>
      </c>
      <c r="E7">
        <v>0</v>
      </c>
    </row>
    <row r="8" spans="1:17" x14ac:dyDescent="0.3">
      <c r="A8" s="2" t="s">
        <v>50</v>
      </c>
      <c r="B8">
        <v>18</v>
      </c>
      <c r="D8" s="2" t="s">
        <v>47</v>
      </c>
      <c r="E8">
        <v>0</v>
      </c>
    </row>
    <row r="9" spans="1:17" x14ac:dyDescent="0.3">
      <c r="A9" s="2" t="s">
        <v>34</v>
      </c>
      <c r="B9">
        <v>2539</v>
      </c>
      <c r="D9" s="2" t="s">
        <v>34</v>
      </c>
      <c r="E9">
        <v>91</v>
      </c>
    </row>
  </sheetData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7371-A6FC-4E03-B707-D06A04C2B455}">
  <dimension ref="A1"/>
  <sheetViews>
    <sheetView showGridLines="0" zoomScale="66" zoomScaleNormal="66" workbookViewId="0">
      <selection activeCell="AH15" sqref="AH15"/>
    </sheetView>
  </sheetViews>
  <sheetFormatPr defaultRowHeight="14.4" x14ac:dyDescent="0.3"/>
  <cols>
    <col min="3" max="3" width="13.2187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87C7-0E63-47A9-86B2-5DAA643BF1B1}">
  <dimension ref="A1"/>
  <sheetViews>
    <sheetView showGridLines="0" tabSelected="1" zoomScale="73" zoomScaleNormal="73" workbookViewId="0">
      <selection activeCell="AD16" sqref="AD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Player Pivot Table</vt:lpstr>
      <vt:lpstr>Team Pivot Table</vt:lpstr>
      <vt:lpstr>Player Dashboard</vt:lpstr>
      <vt:lpstr>Team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hanumanthu tarun</dc:creator>
  <cp:lastModifiedBy>hanumanthu tarun</cp:lastModifiedBy>
  <dcterms:created xsi:type="dcterms:W3CDTF">2026-01-31T06:41:26Z</dcterms:created>
  <dcterms:modified xsi:type="dcterms:W3CDTF">2026-02-01T13:30:46Z</dcterms:modified>
</cp:coreProperties>
</file>